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motor_exp\"/>
    </mc:Choice>
  </mc:AlternateContent>
  <bookViews>
    <workbookView xWindow="0" yWindow="0" windowWidth="19200" windowHeight="7050"/>
  </bookViews>
  <sheets>
    <sheet name="meta-data motor_mod" sheetId="3" r:id="rId1"/>
    <sheet name="motor rotation" sheetId="2" r:id="rId2"/>
    <sheet name="meta-data CN_delay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8" i="3" l="1"/>
  <c r="Q50" i="3"/>
  <c r="R47" i="3"/>
  <c r="R48" i="3"/>
  <c r="R49" i="3"/>
  <c r="R46" i="3"/>
  <c r="Q21" i="3"/>
  <c r="J15" i="3"/>
  <c r="Q19" i="3"/>
  <c r="Q20" i="3"/>
  <c r="Q18" i="3"/>
  <c r="Q17" i="3"/>
  <c r="Q22" i="3"/>
  <c r="Q35" i="3"/>
  <c r="Q36" i="3"/>
  <c r="Q37" i="3"/>
  <c r="Q38" i="3"/>
  <c r="Q39" i="3"/>
  <c r="Q40" i="3"/>
  <c r="Q41" i="3"/>
  <c r="Q42" i="3"/>
  <c r="Q2" i="3"/>
  <c r="J19" i="3"/>
  <c r="G19" i="3"/>
  <c r="H19" i="3" s="1"/>
  <c r="Q3" i="3"/>
  <c r="Q4" i="3"/>
  <c r="Q5" i="3"/>
  <c r="Q6" i="3"/>
  <c r="Q7" i="3"/>
  <c r="Q8" i="3"/>
  <c r="Q9" i="3"/>
  <c r="Q10" i="3"/>
  <c r="Q11" i="3"/>
  <c r="R13" i="3"/>
  <c r="Q14" i="3"/>
  <c r="Q15" i="3"/>
  <c r="N19" i="3" l="1"/>
  <c r="J57" i="3"/>
  <c r="J54" i="3"/>
  <c r="H54" i="3"/>
  <c r="N54" i="3" s="1"/>
  <c r="J55" i="3"/>
  <c r="H55" i="3"/>
  <c r="J52" i="3"/>
  <c r="G52" i="3"/>
  <c r="H52" i="3" s="1"/>
  <c r="N52" i="3" s="1"/>
  <c r="J50" i="3"/>
  <c r="G50" i="3"/>
  <c r="H50" i="3" s="1"/>
  <c r="G38" i="3"/>
  <c r="H38" i="3" s="1"/>
  <c r="G37" i="3"/>
  <c r="H37" i="3" s="1"/>
  <c r="J35" i="3"/>
  <c r="J37" i="3" s="1"/>
  <c r="G35" i="3"/>
  <c r="H35" i="3" s="1"/>
  <c r="J32" i="3"/>
  <c r="G32" i="3"/>
  <c r="H32" i="3" s="1"/>
  <c r="N32" i="3" s="1"/>
  <c r="J31" i="3"/>
  <c r="G31" i="3"/>
  <c r="H31" i="3" s="1"/>
  <c r="J30" i="3"/>
  <c r="G30" i="3"/>
  <c r="H30" i="3" s="1"/>
  <c r="N30" i="3" s="1"/>
  <c r="J29" i="3"/>
  <c r="G29" i="3"/>
  <c r="H29" i="3" s="1"/>
  <c r="J33" i="3"/>
  <c r="G33" i="3"/>
  <c r="H33" i="3" s="1"/>
  <c r="N33" i="3" s="1"/>
  <c r="J26" i="3"/>
  <c r="G26" i="3"/>
  <c r="H26" i="3" s="1"/>
  <c r="J24" i="3"/>
  <c r="G24" i="3"/>
  <c r="H24" i="3" s="1"/>
  <c r="N24" i="3" s="1"/>
  <c r="J22" i="3"/>
  <c r="G22" i="3"/>
  <c r="H22" i="3" s="1"/>
  <c r="J21" i="3"/>
  <c r="G21" i="3"/>
  <c r="H21" i="3" s="1"/>
  <c r="J23" i="3"/>
  <c r="G23" i="3"/>
  <c r="H23" i="3" s="1"/>
  <c r="H57" i="3"/>
  <c r="H58" i="3"/>
  <c r="H59" i="3"/>
  <c r="H56" i="3"/>
  <c r="J59" i="3"/>
  <c r="J58" i="3"/>
  <c r="J56" i="3"/>
  <c r="N21" i="3" l="1"/>
  <c r="N59" i="3"/>
  <c r="N22" i="3"/>
  <c r="N29" i="3"/>
  <c r="N35" i="3"/>
  <c r="N55" i="3"/>
  <c r="N57" i="3"/>
  <c r="N56" i="3"/>
  <c r="N23" i="3"/>
  <c r="N26" i="3"/>
  <c r="N58" i="3"/>
  <c r="N31" i="3"/>
  <c r="N50" i="3"/>
  <c r="J38" i="3"/>
  <c r="N38" i="3" s="1"/>
  <c r="N37" i="3"/>
  <c r="H2" i="3"/>
  <c r="G51" i="3"/>
  <c r="H51" i="3" s="1"/>
  <c r="G53" i="3"/>
  <c r="H53" i="3" s="1"/>
  <c r="G49" i="3"/>
  <c r="H49" i="3" s="1"/>
  <c r="G48" i="3"/>
  <c r="H48" i="3" s="1"/>
  <c r="G47" i="3"/>
  <c r="H47" i="3" s="1"/>
  <c r="G46" i="3"/>
  <c r="H46" i="3" s="1"/>
  <c r="G45" i="3"/>
  <c r="H45" i="3" s="1"/>
  <c r="G44" i="3"/>
  <c r="H44" i="3" s="1"/>
  <c r="G43" i="3"/>
  <c r="H43" i="3" s="1"/>
  <c r="G42" i="3"/>
  <c r="H42" i="3" s="1"/>
  <c r="G41" i="3"/>
  <c r="H41" i="3" s="1"/>
  <c r="G40" i="3"/>
  <c r="H40" i="3" s="1"/>
  <c r="G39" i="3"/>
  <c r="H39" i="3" s="1"/>
  <c r="G36" i="3"/>
  <c r="H36" i="3" s="1"/>
  <c r="G34" i="3"/>
  <c r="H34" i="3" s="1"/>
  <c r="G28" i="3"/>
  <c r="H28" i="3" s="1"/>
  <c r="G27" i="3"/>
  <c r="H27" i="3" s="1"/>
  <c r="G25" i="3"/>
  <c r="H25" i="3" s="1"/>
  <c r="G20" i="3"/>
  <c r="H20" i="3" s="1"/>
  <c r="G18" i="3"/>
  <c r="H18" i="3" s="1"/>
  <c r="G17" i="3"/>
  <c r="H17" i="3" s="1"/>
  <c r="G16" i="3"/>
  <c r="G14" i="3"/>
  <c r="H14" i="3" s="1"/>
  <c r="N14" i="3" s="1"/>
  <c r="G13" i="3"/>
  <c r="H13" i="3" s="1"/>
  <c r="G12" i="3"/>
  <c r="H12" i="3" s="1"/>
  <c r="G11" i="3"/>
  <c r="H11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3" i="3"/>
  <c r="H3" i="3" s="1"/>
  <c r="H16" i="3" l="1"/>
  <c r="J16" i="3"/>
  <c r="G15" i="3"/>
  <c r="H15" i="3" s="1"/>
  <c r="N15" i="3" s="1"/>
  <c r="P12" i="3"/>
  <c r="Q12" i="3" s="1"/>
  <c r="J9" i="3"/>
  <c r="N9" i="3" s="1"/>
  <c r="J8" i="3"/>
  <c r="N8" i="3" s="1"/>
  <c r="J7" i="3"/>
  <c r="N7" i="3" s="1"/>
  <c r="J6" i="3"/>
  <c r="N6" i="3" s="1"/>
  <c r="J5" i="3"/>
  <c r="N5" i="3" s="1"/>
  <c r="J18" i="3"/>
  <c r="N18" i="3" s="1"/>
  <c r="J10" i="3"/>
  <c r="N10" i="3" s="1"/>
  <c r="J3" i="3"/>
  <c r="N3" i="3" s="1"/>
  <c r="N16" i="3" l="1"/>
  <c r="J51" i="3"/>
  <c r="N51" i="3" s="1"/>
  <c r="J53" i="3"/>
  <c r="N53" i="3" s="1"/>
  <c r="J28" i="3" l="1"/>
  <c r="N28" i="3" s="1"/>
  <c r="Q3" i="2"/>
  <c r="Q4" i="2"/>
  <c r="Q5" i="2"/>
  <c r="Q2" i="2"/>
  <c r="P5" i="2"/>
  <c r="P4" i="2"/>
  <c r="P3" i="2"/>
  <c r="P2" i="2"/>
  <c r="J2" i="2"/>
  <c r="J4" i="2"/>
  <c r="J5" i="2"/>
  <c r="J6" i="2"/>
  <c r="J7" i="2"/>
  <c r="J8" i="2"/>
  <c r="J9" i="2"/>
  <c r="J10" i="2"/>
  <c r="J11" i="2"/>
  <c r="J12" i="2"/>
  <c r="J13" i="2"/>
  <c r="J14" i="2"/>
  <c r="I14" i="2"/>
  <c r="I13" i="2"/>
  <c r="I12" i="2"/>
  <c r="I11" i="2"/>
  <c r="I10" i="2"/>
  <c r="I9" i="2"/>
  <c r="I8" i="2"/>
  <c r="I7" i="2"/>
  <c r="I6" i="2"/>
  <c r="I5" i="2"/>
  <c r="I4" i="2"/>
  <c r="I3" i="2"/>
  <c r="J3" i="2" s="1"/>
  <c r="I2" i="2"/>
  <c r="J48" i="3"/>
  <c r="N48" i="3" s="1"/>
  <c r="J49" i="3"/>
  <c r="N49" i="3" s="1"/>
  <c r="J47" i="3"/>
  <c r="N47" i="3" s="1"/>
  <c r="J46" i="3"/>
  <c r="N46" i="3" s="1"/>
  <c r="J45" i="3"/>
  <c r="N45" i="3" s="1"/>
  <c r="J44" i="3"/>
  <c r="N44" i="3" s="1"/>
  <c r="J43" i="3"/>
  <c r="N43" i="3" s="1"/>
  <c r="J42" i="3"/>
  <c r="N42" i="3" s="1"/>
  <c r="J41" i="3"/>
  <c r="N41" i="3" s="1"/>
  <c r="J40" i="3"/>
  <c r="N40" i="3" s="1"/>
  <c r="J36" i="3"/>
  <c r="J2" i="3"/>
  <c r="N2" i="3" s="1"/>
  <c r="J4" i="3"/>
  <c r="N4" i="3" s="1"/>
  <c r="J11" i="3"/>
  <c r="N11" i="3" s="1"/>
  <c r="J12" i="3"/>
  <c r="N12" i="3" s="1"/>
  <c r="J13" i="3"/>
  <c r="N13" i="3" s="1"/>
  <c r="J17" i="3"/>
  <c r="N17" i="3" s="1"/>
  <c r="J20" i="3"/>
  <c r="N20" i="3" s="1"/>
  <c r="J25" i="3"/>
  <c r="N25" i="3" s="1"/>
  <c r="J27" i="3"/>
  <c r="N27" i="3" s="1"/>
  <c r="J34" i="3"/>
  <c r="N34" i="3" s="1"/>
  <c r="J39" i="3" l="1"/>
  <c r="N39" i="3" s="1"/>
  <c r="N36" i="3"/>
  <c r="F7" i="1"/>
  <c r="F75" i="1"/>
  <c r="F74" i="1"/>
  <c r="F73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7" i="1"/>
  <c r="F55" i="1"/>
  <c r="F54" i="1"/>
  <c r="F53" i="1"/>
  <c r="F51" i="1"/>
  <c r="F50" i="1"/>
  <c r="F49" i="1"/>
  <c r="F48" i="1"/>
  <c r="F47" i="1"/>
  <c r="F46" i="1"/>
  <c r="F45" i="1"/>
  <c r="F43" i="1"/>
  <c r="F41" i="1"/>
  <c r="F40" i="1"/>
  <c r="F39" i="1"/>
  <c r="F38" i="1"/>
  <c r="F37" i="1"/>
  <c r="F35" i="1"/>
  <c r="F34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7" i="1"/>
  <c r="F16" i="1"/>
  <c r="F15" i="1"/>
  <c r="F14" i="1"/>
  <c r="F13" i="1"/>
  <c r="F12" i="1"/>
  <c r="F10" i="1"/>
  <c r="F9" i="1"/>
  <c r="F8" i="1"/>
  <c r="F6" i="1"/>
  <c r="F5" i="1"/>
  <c r="F4" i="1"/>
  <c r="F3" i="1"/>
  <c r="E17" i="1"/>
  <c r="E12" i="1"/>
  <c r="E5" i="1"/>
  <c r="E3" i="1"/>
  <c r="E4" i="1"/>
  <c r="E6" i="1"/>
  <c r="E7" i="1"/>
  <c r="E8" i="1"/>
  <c r="E9" i="1"/>
  <c r="E10" i="1"/>
  <c r="E13" i="1"/>
  <c r="E14" i="1"/>
  <c r="E15" i="1"/>
  <c r="E16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4" i="1"/>
  <c r="E35" i="1"/>
  <c r="E36" i="1"/>
  <c r="E37" i="1"/>
  <c r="E38" i="1"/>
  <c r="E39" i="1"/>
  <c r="E40" i="1"/>
  <c r="E41" i="1"/>
  <c r="E43" i="1"/>
  <c r="E45" i="1"/>
  <c r="E46" i="1"/>
  <c r="E47" i="1"/>
  <c r="E48" i="1"/>
  <c r="E49" i="1"/>
  <c r="E50" i="1"/>
  <c r="E51" i="1"/>
  <c r="E53" i="1"/>
  <c r="E54" i="1"/>
  <c r="E55" i="1"/>
  <c r="E57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3" i="1"/>
  <c r="E74" i="1"/>
  <c r="E75" i="1"/>
  <c r="H2" i="1"/>
  <c r="F2" i="1" s="1"/>
  <c r="H4" i="1"/>
  <c r="H11" i="1"/>
  <c r="F11" i="1" s="1"/>
  <c r="H18" i="1"/>
  <c r="F18" i="1" s="1"/>
  <c r="H32" i="1"/>
  <c r="E32" i="1" s="1"/>
  <c r="H33" i="1"/>
  <c r="E33" i="1" s="1"/>
  <c r="H36" i="1"/>
  <c r="F36" i="1" s="1"/>
  <c r="H42" i="1"/>
  <c r="F42" i="1" s="1"/>
  <c r="H44" i="1"/>
  <c r="F44" i="1" s="1"/>
  <c r="H72" i="1"/>
  <c r="E72" i="1" s="1"/>
  <c r="H76" i="1"/>
  <c r="F76" i="1" s="1"/>
  <c r="E11" i="1" l="1"/>
  <c r="E2" i="1"/>
  <c r="E76" i="1"/>
  <c r="F72" i="1"/>
  <c r="F33" i="1"/>
  <c r="E44" i="1"/>
  <c r="E42" i="1"/>
  <c r="E18" i="1"/>
  <c r="H77" i="1"/>
  <c r="G76" i="1"/>
  <c r="F77" i="1" l="1"/>
  <c r="H78" i="1"/>
  <c r="E77" i="1"/>
  <c r="G77" i="1"/>
  <c r="H79" i="1" l="1"/>
  <c r="F78" i="1"/>
  <c r="E78" i="1"/>
  <c r="G78" i="1"/>
  <c r="H80" i="1" l="1"/>
  <c r="E79" i="1"/>
  <c r="F79" i="1"/>
  <c r="G79" i="1"/>
  <c r="H81" i="1" l="1"/>
  <c r="E80" i="1"/>
  <c r="F80" i="1"/>
  <c r="G80" i="1"/>
  <c r="H82" i="1" l="1"/>
  <c r="E81" i="1"/>
  <c r="F81" i="1"/>
  <c r="G81" i="1"/>
  <c r="H83" i="1" l="1"/>
  <c r="E82" i="1"/>
  <c r="F82" i="1"/>
  <c r="G82" i="1"/>
  <c r="H84" i="1" l="1"/>
  <c r="E83" i="1"/>
  <c r="F83" i="1"/>
  <c r="G83" i="1"/>
  <c r="F84" i="1" l="1"/>
  <c r="G84" i="1" s="1"/>
  <c r="E84" i="1"/>
  <c r="G61" i="1" l="1"/>
  <c r="G62" i="1"/>
  <c r="G63" i="1"/>
  <c r="G64" i="1"/>
  <c r="G65" i="1"/>
  <c r="G66" i="1"/>
  <c r="G67" i="1"/>
  <c r="G68" i="1"/>
  <c r="G69" i="1"/>
  <c r="G70" i="1"/>
  <c r="G71" i="1"/>
  <c r="G73" i="1"/>
  <c r="G74" i="1"/>
  <c r="G75" i="1"/>
  <c r="G60" i="1"/>
  <c r="G53" i="1"/>
  <c r="G54" i="1"/>
  <c r="G55" i="1"/>
  <c r="G57" i="1"/>
  <c r="G59" i="1"/>
  <c r="K58" i="1"/>
  <c r="J58" i="1"/>
  <c r="I58" i="1"/>
  <c r="H58" i="1" s="1"/>
  <c r="J56" i="1"/>
  <c r="I56" i="1"/>
  <c r="I52" i="1"/>
  <c r="F58" i="1" l="1"/>
  <c r="E58" i="1"/>
  <c r="H56" i="1"/>
  <c r="H52" i="1"/>
  <c r="C3" i="2"/>
  <c r="F52" i="1" l="1"/>
  <c r="E52" i="1"/>
  <c r="E56" i="1"/>
  <c r="F56" i="1"/>
  <c r="G56" i="1" s="1"/>
  <c r="G72" i="1"/>
  <c r="G42" i="1"/>
  <c r="G52" i="1"/>
  <c r="G32" i="1"/>
  <c r="G19" i="1"/>
  <c r="G20" i="1"/>
  <c r="G21" i="1"/>
  <c r="G22" i="1"/>
  <c r="G12" i="1"/>
  <c r="G13" i="1"/>
  <c r="G14" i="1"/>
  <c r="G15" i="1"/>
  <c r="G16" i="1"/>
  <c r="G17" i="1"/>
  <c r="G5" i="1"/>
  <c r="G6" i="1"/>
  <c r="G7" i="1"/>
  <c r="G8" i="1"/>
  <c r="G9" i="1"/>
  <c r="G10" i="1"/>
  <c r="G24" i="1"/>
  <c r="G27" i="1"/>
  <c r="G28" i="1"/>
  <c r="G29" i="1"/>
  <c r="G34" i="1"/>
  <c r="G35" i="1"/>
  <c r="G36" i="1"/>
  <c r="G39" i="1"/>
  <c r="G43" i="1"/>
  <c r="G44" i="1"/>
  <c r="G47" i="1"/>
  <c r="G50" i="1"/>
  <c r="G51" i="1"/>
  <c r="C4" i="2"/>
  <c r="C5" i="2"/>
  <c r="C6" i="2"/>
  <c r="C7" i="2"/>
  <c r="C8" i="2"/>
  <c r="C9" i="2"/>
  <c r="C2" i="2"/>
  <c r="G23" i="1"/>
  <c r="G25" i="1"/>
  <c r="G26" i="1"/>
  <c r="G30" i="1"/>
  <c r="G31" i="1"/>
  <c r="G33" i="1"/>
  <c r="G37" i="1"/>
  <c r="G38" i="1"/>
  <c r="G40" i="1"/>
  <c r="G41" i="1"/>
  <c r="G45" i="1"/>
  <c r="G46" i="1"/>
  <c r="G48" i="1"/>
  <c r="G49" i="1"/>
  <c r="G58" i="1" l="1"/>
  <c r="G3" i="1"/>
  <c r="G11" i="1" l="1"/>
  <c r="G18" i="1"/>
  <c r="G4" i="1"/>
  <c r="G2" i="1" l="1"/>
  <c r="Q23" i="3"/>
  <c r="Q24" i="3"/>
  <c r="Q25" i="3"/>
  <c r="Q26" i="3"/>
  <c r="Q27" i="3"/>
  <c r="Q28" i="3"/>
  <c r="Q29" i="3"/>
  <c r="Q30" i="3"/>
  <c r="Q31" i="3"/>
  <c r="Q32" i="3"/>
  <c r="Q33" i="3"/>
  <c r="Q34" i="3"/>
  <c r="Q51" i="3"/>
  <c r="Q52" i="3"/>
  <c r="Q53" i="3"/>
  <c r="Q54" i="3"/>
  <c r="Q55" i="3"/>
  <c r="R56" i="3"/>
  <c r="R59" i="3"/>
  <c r="R44" i="3" l="1"/>
  <c r="Q44" i="3"/>
  <c r="R43" i="3"/>
  <c r="Q43" i="3"/>
</calcChain>
</file>

<file path=xl/comments1.xml><?xml version="1.0" encoding="utf-8"?>
<comments xmlns="http://schemas.openxmlformats.org/spreadsheetml/2006/main">
  <authors>
    <author>Amir</author>
  </authors>
  <commentList>
    <comment ref="F4" authorId="0" shapeId="0">
      <text>
        <r>
          <rPr>
            <b/>
            <sz val="9"/>
            <color indexed="81"/>
            <rFont val="Tahoma"/>
            <family val="2"/>
          </rPr>
          <t>Amir:</t>
        </r>
        <r>
          <rPr>
            <sz val="9"/>
            <color indexed="81"/>
            <rFont val="Tahoma"/>
            <family val="2"/>
          </rPr>
          <t xml:space="preserve">
just to check- insert specific CN rate per plant
</t>
        </r>
      </text>
    </comment>
  </commentList>
</comments>
</file>

<file path=xl/sharedStrings.xml><?xml version="1.0" encoding="utf-8"?>
<sst xmlns="http://schemas.openxmlformats.org/spreadsheetml/2006/main" count="445" uniqueCount="112">
  <si>
    <t>exp</t>
  </si>
  <si>
    <t>event</t>
  </si>
  <si>
    <t>dec time(min)</t>
  </si>
  <si>
    <t>cn rate(rad/min)</t>
  </si>
  <si>
    <t>expected angle after jump(rad)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</si>
  <si>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</si>
  <si>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</si>
  <si>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</si>
  <si>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</si>
  <si>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</si>
  <si>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</si>
  <si>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</si>
  <si>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</si>
  <si>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</si>
  <si>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</si>
  <si>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</si>
  <si>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</si>
  <si>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CN (min)</t>
  </si>
  <si>
    <t>CN_avg(min)</t>
  </si>
  <si>
    <t>initial height(cm)</t>
  </si>
  <si>
    <t>30</t>
  </si>
  <si>
    <t>?</t>
  </si>
  <si>
    <t>33</t>
  </si>
  <si>
    <t>32</t>
  </si>
  <si>
    <t>31</t>
  </si>
  <si>
    <t>41</t>
  </si>
  <si>
    <t>36</t>
  </si>
  <si>
    <t>pwm(0-255)</t>
  </si>
  <si>
    <t>period length (min)</t>
  </si>
  <si>
    <t>12</t>
  </si>
  <si>
    <t>13</t>
  </si>
  <si>
    <t>14</t>
  </si>
  <si>
    <t>t/Tcn</t>
  </si>
  <si>
    <t>16</t>
  </si>
  <si>
    <t>exp_num</t>
  </si>
  <si>
    <t>initial_height(cm)</t>
  </si>
  <si>
    <t>motor_base_vel(rpm)</t>
  </si>
  <si>
    <t>CN_periods(min)</t>
  </si>
  <si>
    <t>motor_pwm</t>
  </si>
  <si>
    <t>stage_rotation(rph)</t>
  </si>
  <si>
    <t>CN_avg_rate(rph)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</si>
  <si>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</si>
  <si>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</si>
  <si>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</si>
  <si>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</si>
  <si>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</si>
  <si>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</si>
  <si>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</si>
  <si>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</si>
  <si>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</si>
  <si>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</si>
  <si>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</si>
  <si>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88,80,80,81</t>
  </si>
  <si>
    <t>70,86,90,90</t>
  </si>
  <si>
    <t>95, 90</t>
  </si>
  <si>
    <t>79 ,78, 84,85</t>
  </si>
  <si>
    <t>80,82 ,82, 85,85,86,87,88,87,88,90,92</t>
  </si>
  <si>
    <t>95,98,100</t>
  </si>
  <si>
    <t>94,84,70</t>
  </si>
  <si>
    <t>120,85,95</t>
  </si>
  <si>
    <t>72,75,70,71,72,68</t>
  </si>
  <si>
    <t>84,72,85,81</t>
  </si>
  <si>
    <t>90,87,98,94,96,94,100,100,101,105</t>
  </si>
  <si>
    <t>84,82</t>
  </si>
  <si>
    <t>72,72,75</t>
  </si>
  <si>
    <t>89,80,92</t>
  </si>
  <si>
    <t>90,87,79,88</t>
  </si>
  <si>
    <t>77,79,76,81,79</t>
  </si>
  <si>
    <t>77,75,77,75,75</t>
  </si>
  <si>
    <t>75,80,78,77</t>
  </si>
  <si>
    <t>85,86,90,89,88,86,92,93,90,91,95,93</t>
  </si>
  <si>
    <t>93,95</t>
  </si>
  <si>
    <t>active_motor_duration(min)</t>
  </si>
  <si>
    <t>comments</t>
  </si>
  <si>
    <t>27</t>
  </si>
  <si>
    <t>74,74,74,73,77,78,77,79,81,79,79,80,87,81</t>
  </si>
  <si>
    <t>83,82,82</t>
  </si>
  <si>
    <t>NA</t>
  </si>
  <si>
    <t>abs(rate)</t>
  </si>
  <si>
    <t>rotation rate(rph)</t>
  </si>
  <si>
    <t>83,83</t>
  </si>
  <si>
    <t>87,82</t>
  </si>
  <si>
    <t>88,80,82,76</t>
  </si>
  <si>
    <t>effective_CN_rate(rph)</t>
  </si>
  <si>
    <t>contact_frame</t>
  </si>
  <si>
    <t>100, 100</t>
  </si>
  <si>
    <t>sec_diff(sec)</t>
  </si>
  <si>
    <t>28</t>
  </si>
  <si>
    <t>77,79,81,78</t>
  </si>
  <si>
    <t>29</t>
  </si>
  <si>
    <t>event_num</t>
  </si>
  <si>
    <t>no twine time(min)</t>
  </si>
  <si>
    <t>frame till event</t>
  </si>
  <si>
    <t>30min contact-&gt;19min cw rotation-&gt;no rotation</t>
  </si>
  <si>
    <t>ccw rotation</t>
  </si>
  <si>
    <t>cw rotation, in the end no rotation</t>
  </si>
  <si>
    <t>40min no rotation, cw rotation, in the end no rotation</t>
  </si>
  <si>
    <t>problems</t>
  </si>
  <si>
    <t>twine_time_estimate(min)</t>
  </si>
  <si>
    <t>rotation-&gt;no rotation</t>
  </si>
  <si>
    <t>slips off - count as twine 'attempt'?</t>
  </si>
  <si>
    <t>no side view</t>
  </si>
  <si>
    <t>unclear stem position</t>
  </si>
  <si>
    <t>check</t>
  </si>
  <si>
    <t>disconnects show motor rph&gt; CN rph</t>
  </si>
  <si>
    <t>slip after motor stop</t>
  </si>
  <si>
    <t>motor reverse-decouple</t>
  </si>
  <si>
    <t>twine after motor stop</t>
  </si>
  <si>
    <t>twine with motor</t>
  </si>
  <si>
    <t>slip with motor</t>
  </si>
  <si>
    <t>cw rotation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</si>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</sst>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3" fillId="0" borderId="0" xfId="0" applyFon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 applyAlignment="1">
      <alignment horizontal="center"/>
    </xf>
    <xf numFmtId="0" fontId="0" fillId="0" borderId="0" xfId="0"/>
    <xf numFmtId="164" fontId="0" fillId="0" borderId="0" xfId="0" applyNumberFormat="1"/>
    <xf numFmtId="49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0" fontId="0" fillId="2" borderId="0" xfId="0" applyNumberFormat="1" applyFill="1"/>
    <xf numFmtId="0" fontId="0" fillId="0" borderId="0" xfId="0" applyFill="1"/>
    <xf numFmtId="49" fontId="0" fillId="0" borderId="0" xfId="0" applyNumberFormat="1" applyFill="1"/>
    <xf numFmtId="0" fontId="0" fillId="0" borderId="0" xfId="0" applyNumberFormat="1" applyFill="1"/>
    <xf numFmtId="164" fontId="0" fillId="0" borderId="0" xfId="0" applyNumberForma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rotation rate</a:t>
            </a:r>
            <a:r>
              <a:rPr lang="en-US" baseline="0"/>
              <a:t> for 2? rpm dc motor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'motor rotation'!$C$1</c:f>
              <c:strCache>
                <c:ptCount val="1"/>
                <c:pt idx="0">
                  <c:v>rotation rate(rph)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rotation'!$A$2:$A$9</c:f>
              <c:numCache>
                <c:formatCode>General</c:formatCode>
                <c:ptCount val="8"/>
                <c:pt idx="0">
                  <c:v>110</c:v>
                </c:pt>
                <c:pt idx="1">
                  <c:v>135</c:v>
                </c:pt>
                <c:pt idx="2">
                  <c:v>150</c:v>
                </c:pt>
                <c:pt idx="3">
                  <c:v>180</c:v>
                </c:pt>
                <c:pt idx="4">
                  <c:v>200</c:v>
                </c:pt>
                <c:pt idx="5">
                  <c:v>220</c:v>
                </c:pt>
                <c:pt idx="6">
                  <c:v>240</c:v>
                </c:pt>
                <c:pt idx="7">
                  <c:v>255</c:v>
                </c:pt>
              </c:numCache>
            </c:numRef>
          </c:xVal>
          <c:yVal>
            <c:numRef>
              <c:f>'motor rotation'!$C$2:$C$9</c:f>
              <c:numCache>
                <c:formatCode>General</c:formatCode>
                <c:ptCount val="8"/>
                <c:pt idx="0">
                  <c:v>0.6</c:v>
                </c:pt>
                <c:pt idx="1">
                  <c:v>0.65217391304347827</c:v>
                </c:pt>
                <c:pt idx="2">
                  <c:v>0.70588235294117652</c:v>
                </c:pt>
                <c:pt idx="3">
                  <c:v>0.75</c:v>
                </c:pt>
                <c:pt idx="4">
                  <c:v>0.75</c:v>
                </c:pt>
                <c:pt idx="5">
                  <c:v>0.76923076923076927</c:v>
                </c:pt>
                <c:pt idx="6">
                  <c:v>0.8</c:v>
                </c:pt>
                <c:pt idx="7">
                  <c:v>0.8571428571428571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BF-42F8-B0D3-54D25CD26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877360"/>
        <c:axId val="518877688"/>
      </c:scatterChart>
      <c:valAx>
        <c:axId val="518877360"/>
        <c:scaling>
          <c:orientation val="minMax"/>
          <c:max val="26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pwm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77688"/>
        <c:crosses val="autoZero"/>
        <c:crossBetween val="midCat"/>
        <c:majorUnit val="25"/>
        <c:minorUnit val="5"/>
      </c:valAx>
      <c:valAx>
        <c:axId val="518877688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rotation rate(rph)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77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rotation</a:t>
            </a:r>
            <a:r>
              <a:rPr lang="en-US" baseline="0"/>
              <a:t> rate for 0.5rpm dc motor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rotation'!$H$2:$H$14</c:f>
              <c:numCache>
                <c:formatCode>General</c:formatCode>
                <c:ptCount val="13"/>
                <c:pt idx="0">
                  <c:v>255</c:v>
                </c:pt>
                <c:pt idx="1">
                  <c:v>255</c:v>
                </c:pt>
                <c:pt idx="2">
                  <c:v>150</c:v>
                </c:pt>
                <c:pt idx="3">
                  <c:v>160</c:v>
                </c:pt>
                <c:pt idx="4">
                  <c:v>200</c:v>
                </c:pt>
                <c:pt idx="5">
                  <c:v>220</c:v>
                </c:pt>
                <c:pt idx="6">
                  <c:v>240</c:v>
                </c:pt>
                <c:pt idx="7">
                  <c:v>255</c:v>
                </c:pt>
                <c:pt idx="8">
                  <c:v>190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</c:numCache>
            </c:numRef>
          </c:xVal>
          <c:yVal>
            <c:numRef>
              <c:f>'motor rotation'!$J$2:$J$14</c:f>
              <c:numCache>
                <c:formatCode>General</c:formatCode>
                <c:ptCount val="13"/>
                <c:pt idx="0">
                  <c:v>0.21818181818181817</c:v>
                </c:pt>
                <c:pt idx="1">
                  <c:v>0.21818181818181817</c:v>
                </c:pt>
                <c:pt idx="2">
                  <c:v>0.1566579634464752</c:v>
                </c:pt>
                <c:pt idx="3">
                  <c:v>0.15831134564643798</c:v>
                </c:pt>
                <c:pt idx="4">
                  <c:v>0.18292682926829268</c:v>
                </c:pt>
                <c:pt idx="5">
                  <c:v>0.18518518518518517</c:v>
                </c:pt>
                <c:pt idx="6">
                  <c:v>0.19354838709677419</c:v>
                </c:pt>
                <c:pt idx="7">
                  <c:v>0.22813688212927757</c:v>
                </c:pt>
                <c:pt idx="8">
                  <c:v>0.18181818181818182</c:v>
                </c:pt>
                <c:pt idx="9">
                  <c:v>0.17910447761194029</c:v>
                </c:pt>
                <c:pt idx="10">
                  <c:v>0.17341040462427745</c:v>
                </c:pt>
                <c:pt idx="11">
                  <c:v>0.17391304347826086</c:v>
                </c:pt>
                <c:pt idx="12">
                  <c:v>0.17910447761194029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28-4F32-930F-FB13F4E25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992512"/>
        <c:axId val="421992840"/>
      </c:scatterChart>
      <c:valAx>
        <c:axId val="421992512"/>
        <c:scaling>
          <c:orientation val="minMax"/>
          <c:max val="260"/>
          <c:min val="1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992840"/>
        <c:crosses val="autoZero"/>
        <c:crossBetween val="midCat"/>
      </c:valAx>
      <c:valAx>
        <c:axId val="421992840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rotation rate(rph)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99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rotation rate for 2rpm dc motor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rotation'!$O$2:$O$9</c:f>
              <c:numCache>
                <c:formatCode>General</c:formatCode>
                <c:ptCount val="8"/>
                <c:pt idx="0">
                  <c:v>110</c:v>
                </c:pt>
                <c:pt idx="1">
                  <c:v>110</c:v>
                </c:pt>
                <c:pt idx="2">
                  <c:v>180</c:v>
                </c:pt>
                <c:pt idx="3">
                  <c:v>135</c:v>
                </c:pt>
              </c:numCache>
            </c:numRef>
          </c:xVal>
          <c:yVal>
            <c:numRef>
              <c:f>'motor rotation'!$Q$2:$Q$9</c:f>
              <c:numCache>
                <c:formatCode>General</c:formatCode>
                <c:ptCount val="8"/>
                <c:pt idx="0">
                  <c:v>0.57142857142857151</c:v>
                </c:pt>
                <c:pt idx="1">
                  <c:v>0.6</c:v>
                </c:pt>
                <c:pt idx="2">
                  <c:v>0.76923076923076916</c:v>
                </c:pt>
                <c:pt idx="3">
                  <c:v>0.58823529411764708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20-4F3D-A342-505A64964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289456"/>
        <c:axId val="409403472"/>
      </c:scatterChart>
      <c:valAx>
        <c:axId val="413289456"/>
        <c:scaling>
          <c:orientation val="minMax"/>
          <c:max val="26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pwm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403472"/>
        <c:crosses val="autoZero"/>
        <c:crossBetween val="midCat"/>
      </c:valAx>
      <c:valAx>
        <c:axId val="40940347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rotation</a:t>
                </a:r>
                <a:r>
                  <a:rPr lang="en-US" baseline="0"/>
                  <a:t> rate(rph)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28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15</xdr:row>
      <xdr:rowOff>3175</xdr:rowOff>
    </xdr:from>
    <xdr:to>
      <xdr:col>5</xdr:col>
      <xdr:colOff>431800</xdr:colOff>
      <xdr:row>29</xdr:row>
      <xdr:rowOff>168275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85725</xdr:colOff>
      <xdr:row>15</xdr:row>
      <xdr:rowOff>15875</xdr:rowOff>
    </xdr:from>
    <xdr:to>
      <xdr:col>13</xdr:col>
      <xdr:colOff>231775</xdr:colOff>
      <xdr:row>29</xdr:row>
      <xdr:rowOff>180975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190500</xdr:colOff>
      <xdr:row>14</xdr:row>
      <xdr:rowOff>180975</xdr:rowOff>
    </xdr:from>
    <xdr:to>
      <xdr:col>20</xdr:col>
      <xdr:colOff>336550</xdr:colOff>
      <xdr:row>29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3" sqref="D13"/>
    </sheetView>
  </sheetViews>
  <sheetFormatPr defaultRowHeight="14.5" x14ac:dyDescent="0.35"/>
  <cols>
    <col min="1" max="1" width="8.6328125" style="1" bestFit="1" customWidth="1"/>
    <col min="2" max="2" width="10.26953125" style="15" bestFit="1" customWidth="1"/>
    <col min="3" max="3" width="15.36328125" bestFit="1" customWidth="1"/>
    <col min="4" max="4" width="19.1796875" bestFit="1" customWidth="1"/>
    <col min="5" max="5" width="13.36328125" style="10" customWidth="1"/>
    <col min="6" max="6" width="15" bestFit="1" customWidth="1"/>
    <col min="7" max="7" width="11.453125" bestFit="1" customWidth="1"/>
    <col min="8" max="8" width="15.6328125" bestFit="1" customWidth="1"/>
    <col min="9" max="9" width="11.1796875" bestFit="1" customWidth="1"/>
    <col min="10" max="10" width="17.26953125" bestFit="1" customWidth="1"/>
    <col min="11" max="11" width="17.26953125" style="10" customWidth="1"/>
    <col min="12" max="12" width="30.26953125" bestFit="1" customWidth="1"/>
    <col min="13" max="13" width="18.90625" style="10" bestFit="1" customWidth="1"/>
    <col min="14" max="14" width="22.453125" bestFit="1" customWidth="1"/>
    <col min="15" max="15" width="37" customWidth="1"/>
    <col min="16" max="16" width="15.26953125" style="10" bestFit="1" customWidth="1"/>
    <col min="17" max="17" width="16.81640625" style="10" bestFit="1" customWidth="1"/>
    <col min="18" max="18" width="23.08984375" bestFit="1" customWidth="1"/>
    <col min="19" max="19" width="26.36328125" bestFit="1" customWidth="1"/>
  </cols>
  <sheetData>
    <row r="1" spans="1:19" x14ac:dyDescent="0.35">
      <c r="A1" s="1" t="s">
        <v>34</v>
      </c>
      <c r="B1" s="15" t="s">
        <v>90</v>
      </c>
      <c r="C1" t="s">
        <v>35</v>
      </c>
      <c r="D1" t="s">
        <v>36</v>
      </c>
      <c r="E1" s="10" t="s">
        <v>84</v>
      </c>
      <c r="F1" t="s">
        <v>37</v>
      </c>
      <c r="G1" t="s">
        <v>18</v>
      </c>
      <c r="H1" t="s">
        <v>40</v>
      </c>
      <c r="I1" t="s">
        <v>38</v>
      </c>
      <c r="J1" t="s">
        <v>39</v>
      </c>
      <c r="K1" s="10" t="s">
        <v>86</v>
      </c>
      <c r="L1" t="s">
        <v>73</v>
      </c>
      <c r="M1" s="10" t="s">
        <v>97</v>
      </c>
      <c r="N1" t="s">
        <v>83</v>
      </c>
      <c r="O1" t="s">
        <v>72</v>
      </c>
      <c r="P1" s="10" t="s">
        <v>92</v>
      </c>
      <c r="Q1" s="10" t="s">
        <v>91</v>
      </c>
      <c r="R1" t="s">
        <v>98</v>
      </c>
      <c r="S1" t="s">
        <v>111</v>
      </c>
    </row>
    <row r="2" spans="1:19" s="13" customFormat="1" x14ac:dyDescent="0.35">
      <c r="A2" s="12" t="s">
        <v>5</v>
      </c>
      <c r="B2" s="15">
        <v>1</v>
      </c>
      <c r="C2" s="13">
        <v>42</v>
      </c>
      <c r="D2" s="13">
        <v>2</v>
      </c>
      <c r="E2" s="13">
        <v>0</v>
      </c>
      <c r="F2" s="13">
        <v>90</v>
      </c>
      <c r="G2" s="13">
        <v>90</v>
      </c>
      <c r="H2" s="13">
        <f>60/G2</f>
        <v>0.66666666666666663</v>
      </c>
      <c r="I2" s="13" t="s">
        <v>77</v>
      </c>
      <c r="J2" s="13">
        <f>-1</f>
        <v>-1</v>
      </c>
      <c r="K2" s="14">
        <v>30</v>
      </c>
      <c r="M2" s="14" t="s">
        <v>101</v>
      </c>
      <c r="N2" s="14">
        <f t="shared" ref="N2:N21" si="0">H2+J2</f>
        <v>-0.33333333333333337</v>
      </c>
      <c r="O2" s="13" t="s">
        <v>93</v>
      </c>
      <c r="P2" s="13">
        <v>160</v>
      </c>
      <c r="Q2" s="13">
        <f>IF(R2&gt;0,-1,P2*K16/60)</f>
        <v>160</v>
      </c>
      <c r="R2" s="13">
        <v>-1</v>
      </c>
      <c r="S2" s="13" t="s">
        <v>105</v>
      </c>
    </row>
    <row r="3" spans="1:19" s="13" customFormat="1" x14ac:dyDescent="0.35">
      <c r="A3" s="12" t="s">
        <v>6</v>
      </c>
      <c r="B3" s="15">
        <v>1</v>
      </c>
      <c r="C3" s="13">
        <v>45</v>
      </c>
      <c r="D3" s="13">
        <v>2</v>
      </c>
      <c r="E3" s="13">
        <v>0</v>
      </c>
      <c r="F3" s="13">
        <v>85</v>
      </c>
      <c r="G3" s="13">
        <f>F3</f>
        <v>85</v>
      </c>
      <c r="H3" s="13">
        <f t="shared" ref="H3:H59" si="1">60/G3</f>
        <v>0.70588235294117652</v>
      </c>
      <c r="I3" s="13" t="s">
        <v>77</v>
      </c>
      <c r="J3" s="14">
        <f t="shared" ref="J3:J10" si="2">60*(1/70)</f>
        <v>0.8571428571428571</v>
      </c>
      <c r="K3" s="14">
        <v>60</v>
      </c>
      <c r="M3" s="14" t="s">
        <v>101</v>
      </c>
      <c r="N3" s="14">
        <f t="shared" si="0"/>
        <v>1.5630252100840336</v>
      </c>
      <c r="O3" s="13" t="s">
        <v>94</v>
      </c>
      <c r="P3" s="13">
        <v>11</v>
      </c>
      <c r="Q3" s="13">
        <f t="shared" ref="Q3:Q12" si="3">P3*K3/60</f>
        <v>11</v>
      </c>
      <c r="R3" s="13">
        <v>-1</v>
      </c>
      <c r="S3" s="13" t="s">
        <v>109</v>
      </c>
    </row>
    <row r="4" spans="1:19" s="13" customFormat="1" x14ac:dyDescent="0.35">
      <c r="A4" s="12" t="s">
        <v>6</v>
      </c>
      <c r="B4" s="15">
        <v>2</v>
      </c>
      <c r="C4" s="13">
        <v>45</v>
      </c>
      <c r="D4" s="13">
        <v>2</v>
      </c>
      <c r="E4" s="13">
        <v>0</v>
      </c>
      <c r="F4" s="13">
        <v>85</v>
      </c>
      <c r="G4" s="13">
        <f t="shared" ref="G4:G10" si="4">F4</f>
        <v>85</v>
      </c>
      <c r="H4" s="13">
        <f t="shared" si="1"/>
        <v>0.70588235294117652</v>
      </c>
      <c r="I4" s="13" t="s">
        <v>77</v>
      </c>
      <c r="J4" s="14">
        <f t="shared" si="2"/>
        <v>0.8571428571428571</v>
      </c>
      <c r="K4" s="14">
        <v>60</v>
      </c>
      <c r="M4" s="14" t="s">
        <v>101</v>
      </c>
      <c r="N4" s="14">
        <f t="shared" si="0"/>
        <v>1.5630252100840336</v>
      </c>
      <c r="O4" s="13" t="s">
        <v>94</v>
      </c>
      <c r="P4" s="13">
        <v>24</v>
      </c>
      <c r="Q4" s="13">
        <f t="shared" si="3"/>
        <v>24</v>
      </c>
      <c r="R4" s="13">
        <v>-1</v>
      </c>
      <c r="S4" s="13" t="s">
        <v>109</v>
      </c>
    </row>
    <row r="5" spans="1:19" s="13" customFormat="1" x14ac:dyDescent="0.35">
      <c r="A5" s="12" t="s">
        <v>6</v>
      </c>
      <c r="B5" s="15">
        <v>3</v>
      </c>
      <c r="C5" s="13">
        <v>45</v>
      </c>
      <c r="D5" s="13">
        <v>2</v>
      </c>
      <c r="E5" s="13">
        <v>0</v>
      </c>
      <c r="F5" s="13">
        <v>85</v>
      </c>
      <c r="G5" s="13">
        <f t="shared" si="4"/>
        <v>85</v>
      </c>
      <c r="H5" s="13">
        <f t="shared" si="1"/>
        <v>0.70588235294117652</v>
      </c>
      <c r="I5" s="13" t="s">
        <v>77</v>
      </c>
      <c r="J5" s="14">
        <f t="shared" si="2"/>
        <v>0.8571428571428571</v>
      </c>
      <c r="K5" s="14">
        <v>60</v>
      </c>
      <c r="M5" s="14" t="s">
        <v>101</v>
      </c>
      <c r="N5" s="14">
        <f t="shared" si="0"/>
        <v>1.5630252100840336</v>
      </c>
      <c r="O5" s="13" t="s">
        <v>94</v>
      </c>
      <c r="P5" s="13">
        <v>7</v>
      </c>
      <c r="Q5" s="13">
        <f t="shared" si="3"/>
        <v>7</v>
      </c>
      <c r="R5" s="13">
        <v>-1</v>
      </c>
      <c r="S5" s="13" t="s">
        <v>109</v>
      </c>
    </row>
    <row r="6" spans="1:19" s="13" customFormat="1" x14ac:dyDescent="0.35">
      <c r="A6" s="12" t="s">
        <v>6</v>
      </c>
      <c r="B6" s="15">
        <v>3</v>
      </c>
      <c r="C6" s="13">
        <v>45</v>
      </c>
      <c r="D6" s="13">
        <v>2</v>
      </c>
      <c r="E6" s="13">
        <v>0</v>
      </c>
      <c r="F6" s="13">
        <v>85</v>
      </c>
      <c r="G6" s="13">
        <f t="shared" si="4"/>
        <v>85</v>
      </c>
      <c r="H6" s="13">
        <f t="shared" si="1"/>
        <v>0.70588235294117652</v>
      </c>
      <c r="I6" s="13" t="s">
        <v>77</v>
      </c>
      <c r="J6" s="14">
        <f t="shared" si="2"/>
        <v>0.8571428571428571</v>
      </c>
      <c r="K6" s="14">
        <v>60</v>
      </c>
      <c r="M6" s="14" t="s">
        <v>101</v>
      </c>
      <c r="N6" s="14">
        <f t="shared" si="0"/>
        <v>1.5630252100840336</v>
      </c>
      <c r="O6" s="13" t="s">
        <v>94</v>
      </c>
      <c r="P6" s="13">
        <v>13</v>
      </c>
      <c r="Q6" s="13">
        <f t="shared" si="3"/>
        <v>13</v>
      </c>
      <c r="R6" s="13">
        <v>-1</v>
      </c>
      <c r="S6" s="13" t="s">
        <v>109</v>
      </c>
    </row>
    <row r="7" spans="1:19" s="13" customFormat="1" x14ac:dyDescent="0.35">
      <c r="A7" s="12" t="s">
        <v>6</v>
      </c>
      <c r="B7" s="15">
        <v>4</v>
      </c>
      <c r="C7" s="13">
        <v>45</v>
      </c>
      <c r="D7" s="13">
        <v>2</v>
      </c>
      <c r="E7" s="13">
        <v>0</v>
      </c>
      <c r="F7" s="13">
        <v>85</v>
      </c>
      <c r="G7" s="13">
        <f t="shared" si="4"/>
        <v>85</v>
      </c>
      <c r="H7" s="13">
        <f t="shared" si="1"/>
        <v>0.70588235294117652</v>
      </c>
      <c r="I7" s="13" t="s">
        <v>77</v>
      </c>
      <c r="J7" s="14">
        <f t="shared" si="2"/>
        <v>0.8571428571428571</v>
      </c>
      <c r="K7" s="14">
        <v>60</v>
      </c>
      <c r="M7" s="14" t="s">
        <v>101</v>
      </c>
      <c r="N7" s="14">
        <f t="shared" si="0"/>
        <v>1.5630252100840336</v>
      </c>
      <c r="O7" s="13" t="s">
        <v>94</v>
      </c>
      <c r="P7" s="13">
        <v>7</v>
      </c>
      <c r="Q7" s="13">
        <f t="shared" si="3"/>
        <v>7</v>
      </c>
      <c r="R7" s="13">
        <v>-1</v>
      </c>
      <c r="S7" s="13" t="s">
        <v>109</v>
      </c>
    </row>
    <row r="8" spans="1:19" s="13" customFormat="1" x14ac:dyDescent="0.35">
      <c r="A8" s="12" t="s">
        <v>6</v>
      </c>
      <c r="B8" s="15">
        <v>5</v>
      </c>
      <c r="C8" s="13">
        <v>45</v>
      </c>
      <c r="D8" s="13">
        <v>2</v>
      </c>
      <c r="E8" s="13">
        <v>0</v>
      </c>
      <c r="F8" s="13">
        <v>85</v>
      </c>
      <c r="G8" s="13">
        <f t="shared" si="4"/>
        <v>85</v>
      </c>
      <c r="H8" s="13">
        <f t="shared" si="1"/>
        <v>0.70588235294117652</v>
      </c>
      <c r="I8" s="13" t="s">
        <v>77</v>
      </c>
      <c r="J8" s="14">
        <f t="shared" si="2"/>
        <v>0.8571428571428571</v>
      </c>
      <c r="K8" s="14">
        <v>60</v>
      </c>
      <c r="M8" s="14" t="s">
        <v>101</v>
      </c>
      <c r="N8" s="14">
        <f t="shared" si="0"/>
        <v>1.5630252100840336</v>
      </c>
      <c r="O8" s="13" t="s">
        <v>94</v>
      </c>
      <c r="P8" s="13">
        <v>15</v>
      </c>
      <c r="Q8" s="13">
        <f t="shared" si="3"/>
        <v>15</v>
      </c>
      <c r="R8" s="13">
        <v>-1</v>
      </c>
      <c r="S8" s="13" t="s">
        <v>109</v>
      </c>
    </row>
    <row r="9" spans="1:19" s="13" customFormat="1" x14ac:dyDescent="0.35">
      <c r="A9" s="12" t="s">
        <v>6</v>
      </c>
      <c r="B9" s="15">
        <v>6</v>
      </c>
      <c r="C9" s="13">
        <v>45</v>
      </c>
      <c r="D9" s="13">
        <v>2</v>
      </c>
      <c r="E9" s="13">
        <v>0</v>
      </c>
      <c r="F9" s="13">
        <v>85</v>
      </c>
      <c r="G9" s="13">
        <f t="shared" si="4"/>
        <v>85</v>
      </c>
      <c r="H9" s="13">
        <f t="shared" si="1"/>
        <v>0.70588235294117652</v>
      </c>
      <c r="I9" s="13" t="s">
        <v>77</v>
      </c>
      <c r="J9" s="14">
        <f t="shared" si="2"/>
        <v>0.8571428571428571</v>
      </c>
      <c r="K9" s="14">
        <v>60</v>
      </c>
      <c r="L9" s="13" t="s">
        <v>104</v>
      </c>
      <c r="M9" s="14" t="s">
        <v>101</v>
      </c>
      <c r="N9" s="14">
        <f t="shared" si="0"/>
        <v>1.5630252100840336</v>
      </c>
      <c r="O9" s="13" t="s">
        <v>94</v>
      </c>
      <c r="P9" s="13">
        <v>20</v>
      </c>
      <c r="Q9" s="13">
        <f t="shared" si="3"/>
        <v>20</v>
      </c>
      <c r="R9" s="13">
        <v>-1</v>
      </c>
      <c r="S9" s="13" t="s">
        <v>109</v>
      </c>
    </row>
    <row r="10" spans="1:19" s="13" customFormat="1" x14ac:dyDescent="0.35">
      <c r="A10" s="12" t="s">
        <v>6</v>
      </c>
      <c r="B10" s="15">
        <v>7</v>
      </c>
      <c r="C10" s="13">
        <v>45</v>
      </c>
      <c r="D10" s="13">
        <v>2</v>
      </c>
      <c r="E10" s="13">
        <v>0</v>
      </c>
      <c r="F10" s="13">
        <v>85</v>
      </c>
      <c r="G10" s="13">
        <f t="shared" si="4"/>
        <v>85</v>
      </c>
      <c r="H10" s="13">
        <f t="shared" si="1"/>
        <v>0.70588235294117652</v>
      </c>
      <c r="I10" s="13" t="s">
        <v>77</v>
      </c>
      <c r="J10" s="14">
        <f t="shared" si="2"/>
        <v>0.8571428571428571</v>
      </c>
      <c r="K10" s="14">
        <v>60</v>
      </c>
      <c r="M10" s="14" t="s">
        <v>101</v>
      </c>
      <c r="N10" s="14">
        <f t="shared" si="0"/>
        <v>1.5630252100840336</v>
      </c>
      <c r="O10" s="13" t="s">
        <v>94</v>
      </c>
      <c r="P10" s="13">
        <v>30</v>
      </c>
      <c r="Q10" s="13">
        <f t="shared" si="3"/>
        <v>30</v>
      </c>
      <c r="R10" s="13">
        <v>-1</v>
      </c>
      <c r="S10" s="13" t="s">
        <v>109</v>
      </c>
    </row>
    <row r="11" spans="1:19" s="13" customFormat="1" x14ac:dyDescent="0.35">
      <c r="A11" s="12" t="s">
        <v>7</v>
      </c>
      <c r="B11" s="15">
        <v>1</v>
      </c>
      <c r="C11" s="13">
        <v>33</v>
      </c>
      <c r="D11" s="13">
        <v>2</v>
      </c>
      <c r="E11" s="13">
        <v>0</v>
      </c>
      <c r="F11" s="13" t="s">
        <v>58</v>
      </c>
      <c r="G11" s="13">
        <f>AVERAGE(94,84,70)</f>
        <v>82.666666666666671</v>
      </c>
      <c r="H11" s="13">
        <f t="shared" si="1"/>
        <v>0.72580645161290314</v>
      </c>
      <c r="I11" s="13" t="s">
        <v>77</v>
      </c>
      <c r="J11" s="14">
        <f>-60*(1/105)</f>
        <v>-0.57142857142857151</v>
      </c>
      <c r="K11" s="14">
        <v>60</v>
      </c>
      <c r="M11" s="14" t="s">
        <v>101</v>
      </c>
      <c r="N11" s="14">
        <f t="shared" si="0"/>
        <v>0.15437788018433163</v>
      </c>
      <c r="O11" s="13" t="s">
        <v>95</v>
      </c>
      <c r="P11" s="13">
        <v>1070</v>
      </c>
      <c r="Q11" s="13">
        <f t="shared" si="3"/>
        <v>1070</v>
      </c>
      <c r="R11" s="13">
        <v>-1</v>
      </c>
      <c r="S11" s="13" t="s">
        <v>107</v>
      </c>
    </row>
    <row r="12" spans="1:19" s="13" customFormat="1" x14ac:dyDescent="0.35">
      <c r="A12" s="12" t="s">
        <v>8</v>
      </c>
      <c r="B12" s="15">
        <v>1</v>
      </c>
      <c r="C12" s="13">
        <v>35</v>
      </c>
      <c r="D12" s="13">
        <v>2</v>
      </c>
      <c r="E12" s="13">
        <v>0</v>
      </c>
      <c r="F12" s="13" t="s">
        <v>61</v>
      </c>
      <c r="G12" s="13">
        <f>AVERAGE(84,72,85,81)</f>
        <v>80.5</v>
      </c>
      <c r="H12" s="13">
        <f t="shared" si="1"/>
        <v>0.74534161490683226</v>
      </c>
      <c r="I12" s="13">
        <v>110</v>
      </c>
      <c r="J12" s="14">
        <f>-60*(1/105)</f>
        <v>-0.57142857142857151</v>
      </c>
      <c r="K12" s="14">
        <v>60</v>
      </c>
      <c r="M12" s="14" t="s">
        <v>101</v>
      </c>
      <c r="N12" s="14">
        <f t="shared" si="0"/>
        <v>0.17391304347826075</v>
      </c>
      <c r="O12" s="13" t="s">
        <v>96</v>
      </c>
      <c r="P12" s="13">
        <f>17*60</f>
        <v>1020</v>
      </c>
      <c r="Q12" s="13">
        <f t="shared" si="3"/>
        <v>1020</v>
      </c>
      <c r="R12" s="13">
        <v>-1</v>
      </c>
      <c r="S12" s="13" t="s">
        <v>107</v>
      </c>
    </row>
    <row r="13" spans="1:19" s="13" customFormat="1" x14ac:dyDescent="0.35">
      <c r="A13" s="12" t="s">
        <v>9</v>
      </c>
      <c r="B13" s="15">
        <v>1</v>
      </c>
      <c r="C13" s="13">
        <v>30</v>
      </c>
      <c r="D13" s="13">
        <v>2</v>
      </c>
      <c r="E13" s="13">
        <v>0</v>
      </c>
      <c r="F13" s="13" t="s">
        <v>80</v>
      </c>
      <c r="G13" s="13">
        <f>83</f>
        <v>83</v>
      </c>
      <c r="H13" s="13">
        <f t="shared" si="1"/>
        <v>0.72289156626506024</v>
      </c>
      <c r="I13" s="13">
        <v>110</v>
      </c>
      <c r="J13" s="14">
        <f>0.6</f>
        <v>0.6</v>
      </c>
      <c r="K13" s="14">
        <v>120</v>
      </c>
      <c r="M13" s="14" t="s">
        <v>101</v>
      </c>
      <c r="N13" s="14">
        <f t="shared" si="0"/>
        <v>1.3228915662650602</v>
      </c>
      <c r="O13" s="13" t="s">
        <v>94</v>
      </c>
      <c r="P13" s="13">
        <v>32</v>
      </c>
      <c r="Q13" s="13">
        <v>-1</v>
      </c>
      <c r="R13" s="13">
        <f>P13*K13/60</f>
        <v>64</v>
      </c>
      <c r="S13" s="13" t="s">
        <v>108</v>
      </c>
    </row>
    <row r="14" spans="1:19" s="13" customFormat="1" x14ac:dyDescent="0.35">
      <c r="A14" s="12" t="s">
        <v>10</v>
      </c>
      <c r="B14" s="15">
        <v>1</v>
      </c>
      <c r="C14" s="13">
        <v>30</v>
      </c>
      <c r="D14" s="13">
        <v>2</v>
      </c>
      <c r="E14" s="13">
        <v>0</v>
      </c>
      <c r="F14" s="13" t="s">
        <v>81</v>
      </c>
      <c r="G14" s="13">
        <f>AVERAGE(87,82)</f>
        <v>84.5</v>
      </c>
      <c r="H14" s="13">
        <f t="shared" si="1"/>
        <v>0.7100591715976331</v>
      </c>
      <c r="I14" s="13" t="s">
        <v>77</v>
      </c>
      <c r="J14" s="13" t="s">
        <v>77</v>
      </c>
      <c r="K14" s="14">
        <v>60</v>
      </c>
      <c r="M14" s="14" t="s">
        <v>101</v>
      </c>
      <c r="N14" s="13" t="e">
        <f t="shared" si="0"/>
        <v>#VALUE!</v>
      </c>
      <c r="O14" s="13" t="s">
        <v>99</v>
      </c>
      <c r="P14" s="13">
        <v>-1</v>
      </c>
      <c r="Q14" s="13">
        <f>P14*K14/60</f>
        <v>-1</v>
      </c>
      <c r="R14" s="13">
        <v>-1</v>
      </c>
      <c r="S14" s="13" t="s">
        <v>105</v>
      </c>
    </row>
    <row r="15" spans="1:19" s="13" customFormat="1" x14ac:dyDescent="0.35">
      <c r="A15" s="12" t="s">
        <v>10</v>
      </c>
      <c r="B15" s="15">
        <v>2</v>
      </c>
      <c r="C15" s="13">
        <v>30</v>
      </c>
      <c r="D15" s="13">
        <v>2</v>
      </c>
      <c r="E15" s="13">
        <v>0</v>
      </c>
      <c r="F15" s="13" t="s">
        <v>81</v>
      </c>
      <c r="G15" s="13">
        <f>G14</f>
        <v>84.5</v>
      </c>
      <c r="H15" s="13">
        <f t="shared" si="1"/>
        <v>0.7100591715976331</v>
      </c>
      <c r="I15" s="13" t="s">
        <v>77</v>
      </c>
      <c r="J15" s="13">
        <f>-(60/(100))</f>
        <v>-0.6</v>
      </c>
      <c r="K15" s="14">
        <v>60</v>
      </c>
      <c r="M15" s="14" t="s">
        <v>101</v>
      </c>
      <c r="N15" s="14">
        <f t="shared" si="0"/>
        <v>0.11005917159763312</v>
      </c>
      <c r="O15" s="13" t="s">
        <v>94</v>
      </c>
      <c r="P15" s="13">
        <v>500</v>
      </c>
      <c r="Q15" s="13">
        <f>P15*K15/60</f>
        <v>500</v>
      </c>
      <c r="R15" s="13">
        <v>0</v>
      </c>
      <c r="S15" s="13" t="s">
        <v>106</v>
      </c>
    </row>
    <row r="16" spans="1:19" s="13" customFormat="1" x14ac:dyDescent="0.35">
      <c r="A16" s="12" t="s">
        <v>11</v>
      </c>
      <c r="B16" s="15">
        <v>1</v>
      </c>
      <c r="C16" s="13">
        <v>32</v>
      </c>
      <c r="D16" s="13">
        <v>2</v>
      </c>
      <c r="E16" s="13">
        <v>0</v>
      </c>
      <c r="F16" s="13" t="s">
        <v>59</v>
      </c>
      <c r="G16" s="13">
        <f>AVERAGE(120,85,95)</f>
        <v>100</v>
      </c>
      <c r="H16" s="13">
        <f t="shared" si="1"/>
        <v>0.6</v>
      </c>
      <c r="I16" s="13" t="s">
        <v>77</v>
      </c>
      <c r="J16" s="13">
        <f>(60/G16)</f>
        <v>0.6</v>
      </c>
      <c r="K16" s="14">
        <v>60</v>
      </c>
      <c r="M16" s="14" t="s">
        <v>101</v>
      </c>
      <c r="N16" s="14">
        <f t="shared" si="0"/>
        <v>1.2</v>
      </c>
      <c r="O16" s="13" t="s">
        <v>94</v>
      </c>
      <c r="P16" s="13">
        <v>40</v>
      </c>
      <c r="Q16" s="13">
        <v>-1</v>
      </c>
      <c r="R16" s="13">
        <v>40</v>
      </c>
      <c r="S16" s="13" t="s">
        <v>108</v>
      </c>
    </row>
    <row r="17" spans="1:19" s="13" customFormat="1" x14ac:dyDescent="0.35">
      <c r="A17" s="12" t="s">
        <v>12</v>
      </c>
      <c r="B17" s="15">
        <v>1</v>
      </c>
      <c r="C17" s="13">
        <v>33</v>
      </c>
      <c r="D17" s="13">
        <v>2</v>
      </c>
      <c r="E17" s="13">
        <v>0</v>
      </c>
      <c r="F17" s="13" t="s">
        <v>60</v>
      </c>
      <c r="G17" s="13">
        <f>AVERAGE(72,75,70,71,72,68)</f>
        <v>71.333333333333329</v>
      </c>
      <c r="H17" s="13">
        <f t="shared" si="1"/>
        <v>0.8411214953271029</v>
      </c>
      <c r="I17" s="13" t="s">
        <v>77</v>
      </c>
      <c r="J17" s="14">
        <f>60*(1/92)</f>
        <v>0.65217391304347827</v>
      </c>
      <c r="K17" s="14">
        <v>60</v>
      </c>
      <c r="M17" s="14" t="s">
        <v>101</v>
      </c>
      <c r="N17" s="14">
        <f t="shared" si="0"/>
        <v>1.4932954083705812</v>
      </c>
      <c r="O17" s="13" t="s">
        <v>94</v>
      </c>
      <c r="P17" s="13">
        <v>30</v>
      </c>
      <c r="Q17" s="13">
        <f>IF(R17&gt;0,-1,P17*K17/60)</f>
        <v>-1</v>
      </c>
      <c r="R17" s="13">
        <v>30</v>
      </c>
      <c r="S17" s="13" t="s">
        <v>108</v>
      </c>
    </row>
    <row r="18" spans="1:19" s="13" customFormat="1" x14ac:dyDescent="0.35">
      <c r="A18" s="12" t="s">
        <v>13</v>
      </c>
      <c r="B18" s="15">
        <v>1</v>
      </c>
      <c r="C18" s="13">
        <v>37</v>
      </c>
      <c r="D18" s="13">
        <v>2</v>
      </c>
      <c r="E18" s="13">
        <v>0</v>
      </c>
      <c r="F18" s="13" t="s">
        <v>82</v>
      </c>
      <c r="G18" s="13">
        <f>AVERAGE(88,80,82,76)</f>
        <v>81.5</v>
      </c>
      <c r="H18" s="13">
        <f t="shared" si="1"/>
        <v>0.73619631901840488</v>
      </c>
      <c r="I18" s="13" t="s">
        <v>77</v>
      </c>
      <c r="J18" s="14">
        <f>60*(1/64)</f>
        <v>0.9375</v>
      </c>
      <c r="K18" s="14">
        <v>60</v>
      </c>
      <c r="M18" s="14" t="s">
        <v>101</v>
      </c>
      <c r="N18" s="14">
        <f t="shared" si="0"/>
        <v>1.6736963190184049</v>
      </c>
      <c r="O18" s="13" t="s">
        <v>94</v>
      </c>
      <c r="P18" s="13">
        <v>13</v>
      </c>
      <c r="Q18" s="13">
        <f>IF(R18&gt;0,-1,P18*K18/60)</f>
        <v>-1</v>
      </c>
      <c r="R18" s="13">
        <v>13</v>
      </c>
      <c r="S18" s="13" t="s">
        <v>108</v>
      </c>
    </row>
    <row r="19" spans="1:19" s="16" customFormat="1" x14ac:dyDescent="0.35">
      <c r="A19" s="17" t="s">
        <v>14</v>
      </c>
      <c r="B19" s="18">
        <v>1</v>
      </c>
      <c r="C19" s="16">
        <v>37</v>
      </c>
      <c r="D19" s="16">
        <v>2</v>
      </c>
      <c r="E19" s="16">
        <v>7</v>
      </c>
      <c r="F19" s="16" t="s">
        <v>52</v>
      </c>
      <c r="G19" s="16">
        <f>AVERAGE(88,80,80,81)</f>
        <v>82.25</v>
      </c>
      <c r="H19" s="16">
        <f t="shared" ref="H19" si="5">60/G19</f>
        <v>0.72948328267477203</v>
      </c>
      <c r="I19" s="16">
        <v>180</v>
      </c>
      <c r="J19" s="19">
        <f>60*(1/78)</f>
        <v>0.76923076923076916</v>
      </c>
      <c r="K19" s="19">
        <v>10</v>
      </c>
      <c r="M19" s="19"/>
      <c r="N19" s="19">
        <f t="shared" si="0"/>
        <v>1.4987140519055413</v>
      </c>
      <c r="O19" s="13" t="s">
        <v>94</v>
      </c>
      <c r="P19" s="16">
        <v>100</v>
      </c>
      <c r="Q19" s="16">
        <f t="shared" ref="Q19:Q20" si="6">IF(R19&gt;0,-1,P19*K19/60)</f>
        <v>-1</v>
      </c>
      <c r="R19" s="16">
        <v>16</v>
      </c>
      <c r="S19" s="13" t="s">
        <v>108</v>
      </c>
    </row>
    <row r="20" spans="1:19" s="16" customFormat="1" x14ac:dyDescent="0.35">
      <c r="A20" s="17" t="s">
        <v>14</v>
      </c>
      <c r="B20" s="18">
        <v>2</v>
      </c>
      <c r="C20" s="16">
        <v>37</v>
      </c>
      <c r="D20" s="16">
        <v>2</v>
      </c>
      <c r="E20" s="16">
        <v>7</v>
      </c>
      <c r="F20" s="16" t="s">
        <v>52</v>
      </c>
      <c r="G20" s="16">
        <f>AVERAGE(88,80,80,81)</f>
        <v>82.25</v>
      </c>
      <c r="H20" s="16">
        <f t="shared" si="1"/>
        <v>0.72948328267477203</v>
      </c>
      <c r="I20" s="16">
        <v>180</v>
      </c>
      <c r="J20" s="19">
        <f>60*(1/78)</f>
        <v>0.76923076923076916</v>
      </c>
      <c r="K20" s="19">
        <v>10</v>
      </c>
      <c r="M20" s="19"/>
      <c r="N20" s="19">
        <f t="shared" si="0"/>
        <v>1.4987140519055413</v>
      </c>
      <c r="O20" s="13" t="s">
        <v>94</v>
      </c>
      <c r="P20" s="16">
        <v>165</v>
      </c>
      <c r="Q20" s="16">
        <f t="shared" si="6"/>
        <v>-1</v>
      </c>
      <c r="R20" s="16">
        <v>27</v>
      </c>
      <c r="S20" s="13" t="s">
        <v>108</v>
      </c>
    </row>
    <row r="21" spans="1:19" s="16" customFormat="1" x14ac:dyDescent="0.35">
      <c r="A21" s="17" t="s">
        <v>15</v>
      </c>
      <c r="B21" s="18">
        <v>1</v>
      </c>
      <c r="C21" s="16">
        <v>41</v>
      </c>
      <c r="D21" s="16">
        <v>2</v>
      </c>
      <c r="E21" s="16">
        <v>1231</v>
      </c>
      <c r="F21" s="16" t="s">
        <v>53</v>
      </c>
      <c r="G21" s="16">
        <f>AVERAGE(70,86,90,90)</f>
        <v>84</v>
      </c>
      <c r="H21" s="16">
        <f t="shared" si="1"/>
        <v>0.7142857142857143</v>
      </c>
      <c r="I21" s="16">
        <v>135</v>
      </c>
      <c r="J21" s="19">
        <f>-60*(1/102)</f>
        <v>-0.58823529411764708</v>
      </c>
      <c r="K21" s="19">
        <v>30</v>
      </c>
      <c r="M21" s="19"/>
      <c r="N21" s="19">
        <f t="shared" si="0"/>
        <v>0.12605042016806722</v>
      </c>
      <c r="O21" s="13" t="s">
        <v>110</v>
      </c>
      <c r="P21" s="16">
        <v>64</v>
      </c>
      <c r="Q21" s="16">
        <f>IF(R21&gt;0,-1,P21*K21/60)</f>
        <v>32</v>
      </c>
      <c r="R21" s="16">
        <v>-1</v>
      </c>
      <c r="S21" s="13" t="s">
        <v>106</v>
      </c>
    </row>
    <row r="22" spans="1:19" s="16" customFormat="1" x14ac:dyDescent="0.35">
      <c r="A22" s="17" t="s">
        <v>15</v>
      </c>
      <c r="B22" s="18">
        <v>2</v>
      </c>
      <c r="C22" s="16">
        <v>41</v>
      </c>
      <c r="D22" s="16">
        <v>2</v>
      </c>
      <c r="E22" s="16">
        <v>1231</v>
      </c>
      <c r="F22" s="16" t="s">
        <v>53</v>
      </c>
      <c r="G22" s="16">
        <f>AVERAGE(70,86,90,90)</f>
        <v>84</v>
      </c>
      <c r="H22" s="16">
        <f t="shared" ref="H22" si="7">60/G22</f>
        <v>0.7142857142857143</v>
      </c>
      <c r="I22" s="16">
        <v>135</v>
      </c>
      <c r="J22" s="19">
        <f>-60*(1/102)</f>
        <v>-0.58823529411764708</v>
      </c>
      <c r="K22" s="19">
        <v>30</v>
      </c>
      <c r="M22" s="19"/>
      <c r="N22" s="19">
        <f t="shared" ref="N22" si="8">H22+J22</f>
        <v>0.12605042016806722</v>
      </c>
      <c r="O22" s="13" t="s">
        <v>110</v>
      </c>
      <c r="P22" s="16">
        <v>70</v>
      </c>
      <c r="Q22" s="16">
        <f>IF(R22&gt;0,-1,P22*K22/60)</f>
        <v>35</v>
      </c>
      <c r="R22" s="16">
        <v>-1</v>
      </c>
      <c r="S22" s="13" t="s">
        <v>106</v>
      </c>
    </row>
    <row r="23" spans="1:19" s="16" customFormat="1" x14ac:dyDescent="0.35">
      <c r="A23" s="17" t="s">
        <v>15</v>
      </c>
      <c r="B23" s="18">
        <v>3</v>
      </c>
      <c r="C23" s="16">
        <v>41</v>
      </c>
      <c r="D23" s="16">
        <v>2</v>
      </c>
      <c r="E23" s="16">
        <v>1231</v>
      </c>
      <c r="F23" s="16" t="s">
        <v>53</v>
      </c>
      <c r="G23" s="16">
        <f>AVERAGE(70,86,90,90)</f>
        <v>84</v>
      </c>
      <c r="H23" s="16">
        <f t="shared" ref="H23:H24" si="9">60/G23</f>
        <v>0.7142857142857143</v>
      </c>
      <c r="I23" s="16">
        <v>135</v>
      </c>
      <c r="J23" s="19">
        <f>-60*(1/102)</f>
        <v>-0.58823529411764708</v>
      </c>
      <c r="K23" s="19">
        <v>30</v>
      </c>
      <c r="M23" s="19"/>
      <c r="N23" s="19">
        <f t="shared" ref="N23:N24" si="10">H23+J23</f>
        <v>0.12605042016806722</v>
      </c>
      <c r="O23" s="13" t="s">
        <v>110</v>
      </c>
      <c r="P23" s="16">
        <v>135</v>
      </c>
      <c r="Q23" s="16">
        <f t="shared" ref="Q23:Q43" si="11">IF(R23&gt;0,-1,P23*K23/60)</f>
        <v>67.5</v>
      </c>
      <c r="R23" s="16">
        <v>-1</v>
      </c>
      <c r="S23" s="13" t="s">
        <v>106</v>
      </c>
    </row>
    <row r="24" spans="1:19" s="16" customFormat="1" x14ac:dyDescent="0.35">
      <c r="A24" s="17" t="s">
        <v>15</v>
      </c>
      <c r="B24" s="18">
        <v>4</v>
      </c>
      <c r="C24" s="16">
        <v>41</v>
      </c>
      <c r="D24" s="16">
        <v>2</v>
      </c>
      <c r="E24" s="16">
        <v>1231</v>
      </c>
      <c r="F24" s="16" t="s">
        <v>53</v>
      </c>
      <c r="G24" s="16">
        <f>AVERAGE(70,86,90,90)</f>
        <v>84</v>
      </c>
      <c r="H24" s="16">
        <f t="shared" si="9"/>
        <v>0.7142857142857143</v>
      </c>
      <c r="I24" s="16">
        <v>135</v>
      </c>
      <c r="J24" s="19">
        <f>-60*(1/102)</f>
        <v>-0.58823529411764708</v>
      </c>
      <c r="K24" s="19">
        <v>30</v>
      </c>
      <c r="M24" s="19"/>
      <c r="N24" s="19">
        <f t="shared" si="10"/>
        <v>0.12605042016806722</v>
      </c>
      <c r="O24" s="13" t="s">
        <v>110</v>
      </c>
      <c r="P24" s="16">
        <v>130</v>
      </c>
      <c r="Q24" s="16">
        <f t="shared" si="11"/>
        <v>65</v>
      </c>
      <c r="R24" s="16">
        <v>-1</v>
      </c>
      <c r="S24" s="13" t="s">
        <v>106</v>
      </c>
    </row>
    <row r="25" spans="1:19" s="16" customFormat="1" ht="15" customHeight="1" x14ac:dyDescent="0.35">
      <c r="A25" s="17" t="s">
        <v>16</v>
      </c>
      <c r="B25" s="18">
        <v>1</v>
      </c>
      <c r="C25" s="16">
        <v>38</v>
      </c>
      <c r="D25" s="16">
        <v>2</v>
      </c>
      <c r="E25" s="16">
        <v>4</v>
      </c>
      <c r="F25" s="18" t="s">
        <v>85</v>
      </c>
      <c r="G25" s="16">
        <f>100</f>
        <v>100</v>
      </c>
      <c r="H25" s="16">
        <f t="shared" si="1"/>
        <v>0.6</v>
      </c>
      <c r="I25" s="16">
        <v>110</v>
      </c>
      <c r="J25" s="19">
        <f>-60*(1/100)</f>
        <v>-0.6</v>
      </c>
      <c r="K25" s="19">
        <v>60</v>
      </c>
      <c r="N25" s="19">
        <f>H25+J25</f>
        <v>0</v>
      </c>
      <c r="O25" s="13" t="s">
        <v>94</v>
      </c>
      <c r="P25" s="16">
        <v>25</v>
      </c>
      <c r="Q25" s="16">
        <f t="shared" si="11"/>
        <v>25</v>
      </c>
      <c r="R25" s="16">
        <v>-1</v>
      </c>
      <c r="S25" s="13" t="s">
        <v>109</v>
      </c>
    </row>
    <row r="26" spans="1:19" s="16" customFormat="1" x14ac:dyDescent="0.35">
      <c r="A26" s="17" t="s">
        <v>29</v>
      </c>
      <c r="B26" s="18">
        <v>1</v>
      </c>
      <c r="C26" s="16">
        <v>33</v>
      </c>
      <c r="D26" s="16">
        <v>2</v>
      </c>
      <c r="E26" s="16">
        <v>874</v>
      </c>
      <c r="F26" s="16" t="s">
        <v>54</v>
      </c>
      <c r="G26" s="16">
        <f>AVERAGE(95,90)</f>
        <v>92.5</v>
      </c>
      <c r="H26" s="16">
        <f t="shared" ref="H26" si="12">60/G26</f>
        <v>0.64864864864864868</v>
      </c>
      <c r="I26" s="16">
        <v>100</v>
      </c>
      <c r="J26" s="19">
        <f>-60*(1/100)</f>
        <v>-0.6</v>
      </c>
      <c r="K26" s="19">
        <v>60</v>
      </c>
      <c r="N26" s="19">
        <f t="shared" ref="N26" si="13">H26+J26</f>
        <v>4.8648648648648707E-2</v>
      </c>
      <c r="O26" s="13" t="s">
        <v>110</v>
      </c>
      <c r="P26" s="16">
        <v>120</v>
      </c>
      <c r="Q26" s="16">
        <f t="shared" si="11"/>
        <v>120</v>
      </c>
      <c r="R26" s="16">
        <v>-1</v>
      </c>
      <c r="S26" s="13" t="s">
        <v>106</v>
      </c>
    </row>
    <row r="27" spans="1:19" s="16" customFormat="1" x14ac:dyDescent="0.35">
      <c r="A27" s="17" t="s">
        <v>29</v>
      </c>
      <c r="B27" s="18">
        <v>2</v>
      </c>
      <c r="C27" s="16">
        <v>33</v>
      </c>
      <c r="D27" s="16">
        <v>2</v>
      </c>
      <c r="E27" s="16">
        <v>874</v>
      </c>
      <c r="F27" s="16" t="s">
        <v>54</v>
      </c>
      <c r="G27" s="16">
        <f>AVERAGE(95,90)</f>
        <v>92.5</v>
      </c>
      <c r="H27" s="16">
        <f t="shared" si="1"/>
        <v>0.64864864864864868</v>
      </c>
      <c r="I27" s="16">
        <v>100</v>
      </c>
      <c r="J27" s="19">
        <f>-60*(1/100)</f>
        <v>-0.6</v>
      </c>
      <c r="K27" s="19">
        <v>60</v>
      </c>
      <c r="N27" s="19">
        <f>H27+J27</f>
        <v>4.8648648648648707E-2</v>
      </c>
      <c r="O27" s="13" t="s">
        <v>110</v>
      </c>
      <c r="P27" s="16">
        <v>180</v>
      </c>
      <c r="Q27" s="16">
        <f t="shared" si="11"/>
        <v>180</v>
      </c>
      <c r="R27" s="16">
        <v>-1</v>
      </c>
      <c r="S27" s="13" t="s">
        <v>106</v>
      </c>
    </row>
    <row r="28" spans="1:19" s="16" customFormat="1" x14ac:dyDescent="0.35">
      <c r="A28" s="17" t="s">
        <v>30</v>
      </c>
      <c r="B28" s="18">
        <v>1</v>
      </c>
      <c r="C28" s="16">
        <v>38</v>
      </c>
      <c r="D28" s="16">
        <v>2</v>
      </c>
      <c r="E28" s="16">
        <v>0</v>
      </c>
      <c r="F28" s="16" t="s">
        <v>55</v>
      </c>
      <c r="G28" s="16">
        <f>AVERAGE(79,78,84,85)</f>
        <v>81.5</v>
      </c>
      <c r="H28" s="16">
        <f t="shared" si="1"/>
        <v>0.73619631901840488</v>
      </c>
      <c r="I28" s="16">
        <v>110</v>
      </c>
      <c r="J28" s="19">
        <f>-60*(1/80)</f>
        <v>-0.75</v>
      </c>
      <c r="K28" s="19">
        <v>60</v>
      </c>
      <c r="N28" s="19">
        <f>H28+J28</f>
        <v>-1.3803680981595123E-2</v>
      </c>
      <c r="O28" s="13" t="s">
        <v>110</v>
      </c>
      <c r="P28" s="16">
        <v>40</v>
      </c>
      <c r="Q28" s="16">
        <f t="shared" si="11"/>
        <v>40</v>
      </c>
      <c r="R28" s="16">
        <v>-1</v>
      </c>
      <c r="S28" s="13" t="s">
        <v>106</v>
      </c>
    </row>
    <row r="29" spans="1:19" s="16" customFormat="1" x14ac:dyDescent="0.35">
      <c r="A29" s="17" t="s">
        <v>31</v>
      </c>
      <c r="B29" s="18">
        <v>1</v>
      </c>
      <c r="C29" s="16">
        <v>33</v>
      </c>
      <c r="D29" s="16">
        <v>2</v>
      </c>
      <c r="E29" s="16">
        <v>24</v>
      </c>
      <c r="F29" s="16" t="s">
        <v>56</v>
      </c>
      <c r="G29" s="16">
        <f t="shared" ref="G29:G34" si="14">AVERAGE(80,82,82,85,85,86,87,88,87,88,90,92)</f>
        <v>86</v>
      </c>
      <c r="H29" s="16">
        <f t="shared" si="1"/>
        <v>0.69767441860465118</v>
      </c>
      <c r="I29" s="16">
        <v>140</v>
      </c>
      <c r="J29" s="19">
        <f t="shared" ref="J29:J34" si="15">-60*(1/100)</f>
        <v>-0.6</v>
      </c>
      <c r="K29" s="19">
        <v>60</v>
      </c>
      <c r="M29" s="19"/>
      <c r="N29" s="19">
        <f>H29+J29</f>
        <v>9.7674418604651203E-2</v>
      </c>
      <c r="O29" s="13" t="s">
        <v>110</v>
      </c>
      <c r="P29" s="16">
        <v>117</v>
      </c>
      <c r="Q29" s="16">
        <f t="shared" si="11"/>
        <v>117</v>
      </c>
      <c r="R29" s="16">
        <v>-1</v>
      </c>
      <c r="S29" s="13" t="s">
        <v>106</v>
      </c>
    </row>
    <row r="30" spans="1:19" s="16" customFormat="1" x14ac:dyDescent="0.35">
      <c r="A30" s="17" t="s">
        <v>31</v>
      </c>
      <c r="B30" s="18">
        <v>2</v>
      </c>
      <c r="C30" s="16">
        <v>33</v>
      </c>
      <c r="D30" s="16">
        <v>2</v>
      </c>
      <c r="E30" s="16">
        <v>24</v>
      </c>
      <c r="F30" s="16" t="s">
        <v>56</v>
      </c>
      <c r="G30" s="16">
        <f t="shared" si="14"/>
        <v>86</v>
      </c>
      <c r="H30" s="16">
        <f t="shared" ref="H30:H32" si="16">60/G30</f>
        <v>0.69767441860465118</v>
      </c>
      <c r="I30" s="16">
        <v>140</v>
      </c>
      <c r="J30" s="19">
        <f t="shared" si="15"/>
        <v>-0.6</v>
      </c>
      <c r="K30" s="19">
        <v>60</v>
      </c>
      <c r="M30" s="19"/>
      <c r="N30" s="19">
        <f t="shared" ref="N30:N32" si="17">H30+J30</f>
        <v>9.7674418604651203E-2</v>
      </c>
      <c r="O30" s="13" t="s">
        <v>110</v>
      </c>
      <c r="P30" s="16">
        <v>70</v>
      </c>
      <c r="Q30" s="16">
        <f t="shared" si="11"/>
        <v>70</v>
      </c>
      <c r="R30" s="16">
        <v>-1</v>
      </c>
      <c r="S30" s="13" t="s">
        <v>106</v>
      </c>
    </row>
    <row r="31" spans="1:19" s="16" customFormat="1" x14ac:dyDescent="0.35">
      <c r="A31" s="17" t="s">
        <v>31</v>
      </c>
      <c r="B31" s="18">
        <v>3</v>
      </c>
      <c r="C31" s="16">
        <v>33</v>
      </c>
      <c r="D31" s="16">
        <v>2</v>
      </c>
      <c r="E31" s="16">
        <v>24</v>
      </c>
      <c r="F31" s="16" t="s">
        <v>56</v>
      </c>
      <c r="G31" s="16">
        <f t="shared" si="14"/>
        <v>86</v>
      </c>
      <c r="H31" s="16">
        <f t="shared" si="16"/>
        <v>0.69767441860465118</v>
      </c>
      <c r="I31" s="16">
        <v>140</v>
      </c>
      <c r="J31" s="19">
        <f t="shared" si="15"/>
        <v>-0.6</v>
      </c>
      <c r="K31" s="19">
        <v>60</v>
      </c>
      <c r="M31" s="19"/>
      <c r="N31" s="19">
        <f t="shared" si="17"/>
        <v>9.7674418604651203E-2</v>
      </c>
      <c r="O31" s="13" t="s">
        <v>110</v>
      </c>
      <c r="P31" s="16">
        <v>200</v>
      </c>
      <c r="Q31" s="16">
        <f t="shared" si="11"/>
        <v>200</v>
      </c>
      <c r="R31" s="16">
        <v>-1</v>
      </c>
      <c r="S31" s="13" t="s">
        <v>106</v>
      </c>
    </row>
    <row r="32" spans="1:19" s="16" customFormat="1" x14ac:dyDescent="0.35">
      <c r="A32" s="17" t="s">
        <v>31</v>
      </c>
      <c r="B32" s="18">
        <v>4</v>
      </c>
      <c r="C32" s="16">
        <v>33</v>
      </c>
      <c r="D32" s="16">
        <v>2</v>
      </c>
      <c r="E32" s="16">
        <v>24</v>
      </c>
      <c r="F32" s="16" t="s">
        <v>56</v>
      </c>
      <c r="G32" s="16">
        <f t="shared" si="14"/>
        <v>86</v>
      </c>
      <c r="H32" s="16">
        <f t="shared" si="16"/>
        <v>0.69767441860465118</v>
      </c>
      <c r="I32" s="16">
        <v>140</v>
      </c>
      <c r="J32" s="19">
        <f t="shared" si="15"/>
        <v>-0.6</v>
      </c>
      <c r="K32" s="19">
        <v>60</v>
      </c>
      <c r="M32" s="19"/>
      <c r="N32" s="19">
        <f t="shared" si="17"/>
        <v>9.7674418604651203E-2</v>
      </c>
      <c r="O32" s="13" t="s">
        <v>110</v>
      </c>
      <c r="P32" s="16">
        <v>300</v>
      </c>
      <c r="Q32" s="16">
        <f t="shared" si="11"/>
        <v>300</v>
      </c>
      <c r="R32" s="16">
        <v>-1</v>
      </c>
      <c r="S32" s="13" t="s">
        <v>106</v>
      </c>
    </row>
    <row r="33" spans="1:19" s="16" customFormat="1" x14ac:dyDescent="0.35">
      <c r="A33" s="17" t="s">
        <v>31</v>
      </c>
      <c r="B33" s="18">
        <v>5</v>
      </c>
      <c r="C33" s="16">
        <v>33</v>
      </c>
      <c r="D33" s="16">
        <v>2</v>
      </c>
      <c r="E33" s="16">
        <v>24</v>
      </c>
      <c r="F33" s="16" t="s">
        <v>56</v>
      </c>
      <c r="G33" s="16">
        <f t="shared" si="14"/>
        <v>86</v>
      </c>
      <c r="H33" s="16">
        <f t="shared" ref="H33" si="18">60/G33</f>
        <v>0.69767441860465118</v>
      </c>
      <c r="I33" s="16">
        <v>140</v>
      </c>
      <c r="J33" s="19">
        <f t="shared" si="15"/>
        <v>-0.6</v>
      </c>
      <c r="K33" s="19">
        <v>60</v>
      </c>
      <c r="M33" s="19"/>
      <c r="N33" s="19">
        <f t="shared" ref="N33" si="19">H33+J33</f>
        <v>9.7674418604651203E-2</v>
      </c>
      <c r="O33" s="13" t="s">
        <v>110</v>
      </c>
      <c r="P33" s="16">
        <v>80</v>
      </c>
      <c r="Q33" s="16">
        <f t="shared" si="11"/>
        <v>80</v>
      </c>
      <c r="R33" s="16">
        <v>-1</v>
      </c>
      <c r="S33" s="13" t="s">
        <v>106</v>
      </c>
    </row>
    <row r="34" spans="1:19" s="16" customFormat="1" x14ac:dyDescent="0.35">
      <c r="A34" s="17" t="s">
        <v>31</v>
      </c>
      <c r="B34" s="18">
        <v>6</v>
      </c>
      <c r="C34" s="16">
        <v>33</v>
      </c>
      <c r="D34" s="16">
        <v>2</v>
      </c>
      <c r="E34" s="16">
        <v>24</v>
      </c>
      <c r="F34" s="16" t="s">
        <v>56</v>
      </c>
      <c r="G34" s="16">
        <f t="shared" si="14"/>
        <v>86</v>
      </c>
      <c r="H34" s="16">
        <f t="shared" si="1"/>
        <v>0.69767441860465118</v>
      </c>
      <c r="I34" s="16">
        <v>140</v>
      </c>
      <c r="J34" s="19">
        <f t="shared" si="15"/>
        <v>-0.6</v>
      </c>
      <c r="K34" s="19">
        <v>60</v>
      </c>
      <c r="M34" s="19"/>
      <c r="N34" s="19">
        <f>H34+J34</f>
        <v>9.7674418604651203E-2</v>
      </c>
      <c r="O34" s="13" t="s">
        <v>110</v>
      </c>
      <c r="P34" s="16">
        <v>80</v>
      </c>
      <c r="Q34" s="16">
        <f t="shared" si="11"/>
        <v>80</v>
      </c>
      <c r="R34" s="16">
        <v>-1</v>
      </c>
      <c r="S34" s="13" t="s">
        <v>106</v>
      </c>
    </row>
    <row r="35" spans="1:19" s="16" customFormat="1" x14ac:dyDescent="0.35">
      <c r="A35" s="17" t="s">
        <v>41</v>
      </c>
      <c r="B35" s="18">
        <v>1</v>
      </c>
      <c r="C35" s="16">
        <v>40</v>
      </c>
      <c r="D35" s="16">
        <v>0.5</v>
      </c>
      <c r="E35" s="16">
        <v>11</v>
      </c>
      <c r="F35" s="16" t="s">
        <v>71</v>
      </c>
      <c r="G35" s="16">
        <f>AVERAGE(93,95)</f>
        <v>94</v>
      </c>
      <c r="H35" s="16">
        <f t="shared" ref="H35" si="20">60/G35</f>
        <v>0.63829787234042556</v>
      </c>
      <c r="I35" s="16">
        <v>255</v>
      </c>
      <c r="J35" s="19">
        <f>-60*(1/(4*60+35))</f>
        <v>-0.21818181818181817</v>
      </c>
      <c r="K35" s="19">
        <v>60</v>
      </c>
      <c r="M35" s="19"/>
      <c r="N35" s="19">
        <f t="shared" ref="N35" si="21">H35+J35</f>
        <v>0.42011605415860742</v>
      </c>
      <c r="O35" s="13" t="s">
        <v>110</v>
      </c>
      <c r="P35" s="16">
        <v>125</v>
      </c>
      <c r="Q35" s="16">
        <f t="shared" si="11"/>
        <v>-1</v>
      </c>
      <c r="R35" s="16">
        <v>125</v>
      </c>
      <c r="S35" s="13" t="s">
        <v>108</v>
      </c>
    </row>
    <row r="36" spans="1:19" s="16" customFormat="1" x14ac:dyDescent="0.35">
      <c r="A36" s="17" t="s">
        <v>41</v>
      </c>
      <c r="B36" s="18">
        <v>2</v>
      </c>
      <c r="C36" s="16">
        <v>40</v>
      </c>
      <c r="D36" s="16">
        <v>0.5</v>
      </c>
      <c r="E36" s="16">
        <v>11</v>
      </c>
      <c r="F36" s="16" t="s">
        <v>71</v>
      </c>
      <c r="G36" s="16">
        <f>AVERAGE(93,95)</f>
        <v>94</v>
      </c>
      <c r="H36" s="16">
        <f t="shared" si="1"/>
        <v>0.63829787234042556</v>
      </c>
      <c r="I36" s="16">
        <v>255</v>
      </c>
      <c r="J36" s="19">
        <f>-60*(1/(4*60+35))</f>
        <v>-0.21818181818181817</v>
      </c>
      <c r="K36" s="19">
        <v>60</v>
      </c>
      <c r="M36" s="19"/>
      <c r="N36" s="19">
        <f>H36+J36</f>
        <v>0.42011605415860742</v>
      </c>
      <c r="O36" s="13" t="s">
        <v>110</v>
      </c>
      <c r="P36" s="16">
        <v>90</v>
      </c>
      <c r="Q36" s="16">
        <f t="shared" si="11"/>
        <v>-1</v>
      </c>
      <c r="R36" s="16">
        <v>90</v>
      </c>
      <c r="S36" s="13" t="s">
        <v>108</v>
      </c>
    </row>
    <row r="37" spans="1:19" s="16" customFormat="1" x14ac:dyDescent="0.35">
      <c r="A37" s="17" t="s">
        <v>33</v>
      </c>
      <c r="B37" s="18">
        <v>1</v>
      </c>
      <c r="C37" s="16">
        <v>55</v>
      </c>
      <c r="D37" s="16">
        <v>0.5</v>
      </c>
      <c r="E37" s="16">
        <v>2</v>
      </c>
      <c r="F37" s="16" t="s">
        <v>57</v>
      </c>
      <c r="G37" s="16">
        <f>AVERAGE(95,98,100)</f>
        <v>97.666666666666671</v>
      </c>
      <c r="H37" s="16">
        <f t="shared" ref="H37:H38" si="22">60/G37</f>
        <v>0.61433447098976102</v>
      </c>
      <c r="I37" s="16">
        <v>255</v>
      </c>
      <c r="J37" s="19">
        <f>J35</f>
        <v>-0.21818181818181817</v>
      </c>
      <c r="K37" s="19">
        <v>60</v>
      </c>
      <c r="M37" s="19"/>
      <c r="N37" s="19">
        <f t="shared" ref="N37:N38" si="23">H37+J37</f>
        <v>0.39615265280794287</v>
      </c>
      <c r="O37" s="13" t="s">
        <v>110</v>
      </c>
      <c r="P37" s="16">
        <v>300</v>
      </c>
      <c r="Q37" s="16">
        <f t="shared" si="11"/>
        <v>-1</v>
      </c>
      <c r="R37" s="16">
        <v>300</v>
      </c>
      <c r="S37" s="13" t="s">
        <v>108</v>
      </c>
    </row>
    <row r="38" spans="1:19" s="16" customFormat="1" x14ac:dyDescent="0.35">
      <c r="A38" s="17" t="s">
        <v>33</v>
      </c>
      <c r="B38" s="18">
        <v>2</v>
      </c>
      <c r="C38" s="16">
        <v>55</v>
      </c>
      <c r="D38" s="16">
        <v>0.5</v>
      </c>
      <c r="E38" s="16">
        <v>2</v>
      </c>
      <c r="F38" s="16" t="s">
        <v>57</v>
      </c>
      <c r="G38" s="16">
        <f>AVERAGE(95,98,100)</f>
        <v>97.666666666666671</v>
      </c>
      <c r="H38" s="16">
        <f t="shared" si="22"/>
        <v>0.61433447098976102</v>
      </c>
      <c r="I38" s="16">
        <v>255</v>
      </c>
      <c r="J38" s="19">
        <f>J35</f>
        <v>-0.21818181818181817</v>
      </c>
      <c r="K38" s="19">
        <v>60</v>
      </c>
      <c r="M38" s="19"/>
      <c r="N38" s="19">
        <f t="shared" si="23"/>
        <v>0.39615265280794287</v>
      </c>
      <c r="O38" s="13" t="s">
        <v>110</v>
      </c>
      <c r="P38" s="16">
        <v>100</v>
      </c>
      <c r="Q38" s="16">
        <f t="shared" si="11"/>
        <v>-1</v>
      </c>
      <c r="R38" s="16">
        <v>100</v>
      </c>
      <c r="S38" s="13" t="s">
        <v>108</v>
      </c>
    </row>
    <row r="39" spans="1:19" s="16" customFormat="1" x14ac:dyDescent="0.35">
      <c r="A39" s="17" t="s">
        <v>33</v>
      </c>
      <c r="B39" s="18">
        <v>3</v>
      </c>
      <c r="C39" s="16">
        <v>55</v>
      </c>
      <c r="D39" s="16">
        <v>0.5</v>
      </c>
      <c r="E39" s="16">
        <v>2</v>
      </c>
      <c r="F39" s="16" t="s">
        <v>57</v>
      </c>
      <c r="G39" s="16">
        <f>AVERAGE(95,98,100)</f>
        <v>97.666666666666671</v>
      </c>
      <c r="H39" s="16">
        <f t="shared" si="1"/>
        <v>0.61433447098976102</v>
      </c>
      <c r="I39" s="16">
        <v>255</v>
      </c>
      <c r="J39" s="19">
        <f>J36</f>
        <v>-0.21818181818181817</v>
      </c>
      <c r="K39" s="19">
        <v>60</v>
      </c>
      <c r="M39" s="19"/>
      <c r="N39" s="19">
        <f t="shared" ref="N39:N49" si="24">H39+J39</f>
        <v>0.39615265280794287</v>
      </c>
      <c r="O39" s="13" t="s">
        <v>110</v>
      </c>
      <c r="P39" s="16">
        <v>350</v>
      </c>
      <c r="Q39" s="16">
        <f t="shared" si="11"/>
        <v>-1</v>
      </c>
      <c r="R39" s="16">
        <v>350</v>
      </c>
      <c r="S39" s="13" t="s">
        <v>108</v>
      </c>
    </row>
    <row r="40" spans="1:19" s="16" customFormat="1" x14ac:dyDescent="0.35">
      <c r="A40" s="17" t="s">
        <v>42</v>
      </c>
      <c r="B40" s="18">
        <v>1</v>
      </c>
      <c r="C40" s="16">
        <v>40</v>
      </c>
      <c r="D40" s="16">
        <v>0.5</v>
      </c>
      <c r="E40" s="16">
        <v>17</v>
      </c>
      <c r="F40" s="16" t="s">
        <v>70</v>
      </c>
      <c r="G40" s="16">
        <f>AVERAGE(85,86,90,89,88,86,92,93,90,91,95,93)</f>
        <v>89.833333333333329</v>
      </c>
      <c r="H40" s="16">
        <f t="shared" si="1"/>
        <v>0.66790352504638217</v>
      </c>
      <c r="I40" s="16">
        <v>150</v>
      </c>
      <c r="J40" s="19">
        <f>-60*(1/(6*60+23))</f>
        <v>-0.1566579634464752</v>
      </c>
      <c r="K40" s="19">
        <v>60</v>
      </c>
      <c r="M40" s="19"/>
      <c r="N40" s="19">
        <f t="shared" si="24"/>
        <v>0.51124556159990697</v>
      </c>
      <c r="O40" s="13" t="s">
        <v>110</v>
      </c>
      <c r="P40" s="16">
        <v>130</v>
      </c>
      <c r="Q40" s="16">
        <f t="shared" si="11"/>
        <v>-1</v>
      </c>
      <c r="R40" s="16">
        <v>130</v>
      </c>
      <c r="S40" s="13" t="s">
        <v>108</v>
      </c>
    </row>
    <row r="41" spans="1:19" s="16" customFormat="1" x14ac:dyDescent="0.35">
      <c r="A41" s="17" t="s">
        <v>43</v>
      </c>
      <c r="B41" s="18">
        <v>1</v>
      </c>
      <c r="C41" s="16">
        <v>29</v>
      </c>
      <c r="D41" s="16">
        <v>0.5</v>
      </c>
      <c r="E41" s="16">
        <v>2</v>
      </c>
      <c r="F41" s="16" t="s">
        <v>69</v>
      </c>
      <c r="G41" s="16">
        <f>AVERAGE(75,80,78,77)</f>
        <v>77.5</v>
      </c>
      <c r="H41" s="16">
        <f t="shared" si="1"/>
        <v>0.77419354838709675</v>
      </c>
      <c r="I41" s="16">
        <v>160</v>
      </c>
      <c r="J41" s="19">
        <f>-60*(1/(6*60+19))</f>
        <v>-0.15831134564643798</v>
      </c>
      <c r="K41" s="19">
        <v>60</v>
      </c>
      <c r="M41" s="19"/>
      <c r="N41" s="19">
        <f t="shared" si="24"/>
        <v>0.61588220274065875</v>
      </c>
      <c r="O41" s="13" t="s">
        <v>94</v>
      </c>
      <c r="P41" s="16">
        <v>110</v>
      </c>
      <c r="Q41" s="16">
        <f t="shared" si="11"/>
        <v>-1</v>
      </c>
      <c r="R41" s="16">
        <v>110</v>
      </c>
      <c r="S41" s="13" t="s">
        <v>108</v>
      </c>
    </row>
    <row r="42" spans="1:19" s="16" customFormat="1" x14ac:dyDescent="0.35">
      <c r="A42" s="17" t="s">
        <v>44</v>
      </c>
      <c r="B42" s="18">
        <v>1</v>
      </c>
      <c r="C42" s="16">
        <v>32</v>
      </c>
      <c r="D42" s="16">
        <v>0.5</v>
      </c>
      <c r="E42" s="16">
        <v>31</v>
      </c>
      <c r="F42" s="16" t="s">
        <v>68</v>
      </c>
      <c r="G42" s="16">
        <f>AVERAGE(77,75,77,75,75)</f>
        <v>75.8</v>
      </c>
      <c r="H42" s="16">
        <f t="shared" si="1"/>
        <v>0.79155672823219003</v>
      </c>
      <c r="I42" s="16">
        <v>200</v>
      </c>
      <c r="J42" s="19">
        <f>60*(1/(60*5+28))</f>
        <v>0.18292682926829268</v>
      </c>
      <c r="K42" s="19">
        <v>60</v>
      </c>
      <c r="M42" s="19"/>
      <c r="N42" s="19">
        <f t="shared" si="24"/>
        <v>0.97448355750048266</v>
      </c>
      <c r="O42" s="13" t="s">
        <v>94</v>
      </c>
      <c r="P42" s="16">
        <v>70</v>
      </c>
      <c r="Q42" s="16">
        <f t="shared" si="11"/>
        <v>-1</v>
      </c>
      <c r="R42" s="16">
        <v>70</v>
      </c>
      <c r="S42" s="13" t="s">
        <v>108</v>
      </c>
    </row>
    <row r="43" spans="1:19" s="16" customFormat="1" x14ac:dyDescent="0.35">
      <c r="A43" s="17" t="s">
        <v>45</v>
      </c>
      <c r="B43" s="18">
        <v>1</v>
      </c>
      <c r="C43" s="16">
        <v>29</v>
      </c>
      <c r="D43" s="16">
        <v>0.5</v>
      </c>
      <c r="E43" s="16">
        <v>23</v>
      </c>
      <c r="F43" s="16" t="s">
        <v>67</v>
      </c>
      <c r="G43" s="16">
        <f>AVERAGE(77,79,76,81,79)</f>
        <v>78.400000000000006</v>
      </c>
      <c r="H43" s="16">
        <f t="shared" si="1"/>
        <v>0.76530612244897955</v>
      </c>
      <c r="I43" s="16">
        <v>220</v>
      </c>
      <c r="J43" s="19">
        <f>60*(1/(60*5+24))</f>
        <v>0.18518518518518517</v>
      </c>
      <c r="K43" s="19">
        <v>60</v>
      </c>
      <c r="M43" s="19"/>
      <c r="N43" s="19">
        <f t="shared" si="24"/>
        <v>0.95049130763416478</v>
      </c>
      <c r="O43" s="13" t="s">
        <v>94</v>
      </c>
      <c r="P43" s="16">
        <v>34</v>
      </c>
      <c r="Q43" s="16">
        <f t="shared" ca="1" si="11"/>
        <v>-1</v>
      </c>
      <c r="R43" s="16">
        <f ca="1">IF(Q43&gt;0,-1,P43*K43/60)</f>
        <v>34</v>
      </c>
      <c r="S43" s="13" t="s">
        <v>108</v>
      </c>
    </row>
    <row r="44" spans="1:19" s="16" customFormat="1" x14ac:dyDescent="0.35">
      <c r="A44" s="17" t="s">
        <v>46</v>
      </c>
      <c r="B44" s="18">
        <v>1</v>
      </c>
      <c r="C44" s="16">
        <v>31</v>
      </c>
      <c r="D44" s="16">
        <v>0.5</v>
      </c>
      <c r="E44" s="16">
        <v>8</v>
      </c>
      <c r="F44" s="16" t="s">
        <v>66</v>
      </c>
      <c r="G44" s="16">
        <f>AVERAGE(90,87,79,88)</f>
        <v>86</v>
      </c>
      <c r="H44" s="16">
        <f t="shared" si="1"/>
        <v>0.69767441860465118</v>
      </c>
      <c r="I44" s="16">
        <v>240</v>
      </c>
      <c r="J44" s="19">
        <f>60*(1/(60*5+10))</f>
        <v>0.19354838709677419</v>
      </c>
      <c r="K44" s="19">
        <v>60</v>
      </c>
      <c r="M44" s="19"/>
      <c r="N44" s="19">
        <f t="shared" si="24"/>
        <v>0.89122280570142531</v>
      </c>
      <c r="O44" s="13" t="s">
        <v>94</v>
      </c>
      <c r="P44" s="16">
        <v>20</v>
      </c>
      <c r="Q44" s="16">
        <f ca="1">IF(R44&gt;0,-1,P44*K44/60)</f>
        <v>-1</v>
      </c>
      <c r="R44" s="16">
        <f ca="1">IF(Q44&gt;0,-1,P44*K44/60)</f>
        <v>20</v>
      </c>
      <c r="S44" s="13" t="s">
        <v>108</v>
      </c>
    </row>
    <row r="45" spans="1:19" s="16" customFormat="1" x14ac:dyDescent="0.35">
      <c r="A45" s="17" t="s">
        <v>47</v>
      </c>
      <c r="B45" s="18">
        <v>1</v>
      </c>
      <c r="C45" s="16">
        <v>31</v>
      </c>
      <c r="D45" s="16">
        <v>0.5</v>
      </c>
      <c r="E45" s="16">
        <v>22</v>
      </c>
      <c r="F45" s="16" t="s">
        <v>65</v>
      </c>
      <c r="G45" s="16">
        <f>AVERAGE(89,80,92)</f>
        <v>87</v>
      </c>
      <c r="H45" s="16">
        <f t="shared" si="1"/>
        <v>0.68965517241379315</v>
      </c>
      <c r="I45" s="16">
        <v>255</v>
      </c>
      <c r="J45" s="19">
        <f>60*(1/(60*4+23))</f>
        <v>0.22813688212927757</v>
      </c>
      <c r="K45" s="19">
        <v>60</v>
      </c>
      <c r="M45" s="19"/>
      <c r="N45" s="19">
        <f t="shared" si="24"/>
        <v>0.91779205454307067</v>
      </c>
      <c r="O45" s="13" t="s">
        <v>94</v>
      </c>
      <c r="P45" s="16">
        <v>110</v>
      </c>
      <c r="Q45" s="16">
        <v>-1</v>
      </c>
      <c r="R45" s="16">
        <v>110</v>
      </c>
      <c r="S45" s="13" t="s">
        <v>108</v>
      </c>
    </row>
    <row r="46" spans="1:19" s="16" customFormat="1" x14ac:dyDescent="0.35">
      <c r="A46" s="17" t="s">
        <v>48</v>
      </c>
      <c r="B46" s="18">
        <v>1</v>
      </c>
      <c r="C46" s="16">
        <v>25</v>
      </c>
      <c r="D46" s="16">
        <v>0.5</v>
      </c>
      <c r="E46" s="16">
        <v>121</v>
      </c>
      <c r="F46" s="16" t="s">
        <v>64</v>
      </c>
      <c r="G46" s="16">
        <f>AVERAGE(72,72,75)</f>
        <v>73</v>
      </c>
      <c r="H46" s="16">
        <f t="shared" si="1"/>
        <v>0.82191780821917804</v>
      </c>
      <c r="I46" s="16">
        <v>190</v>
      </c>
      <c r="J46" s="19">
        <f>60*(1/(60*5+30))</f>
        <v>0.18181818181818182</v>
      </c>
      <c r="K46" s="19">
        <v>60</v>
      </c>
      <c r="M46" s="19"/>
      <c r="N46" s="19">
        <f t="shared" si="24"/>
        <v>1.0037359900373599</v>
      </c>
      <c r="O46" s="13" t="s">
        <v>94</v>
      </c>
      <c r="P46" s="16">
        <v>100</v>
      </c>
      <c r="Q46" s="16">
        <v>-1</v>
      </c>
      <c r="R46" s="16">
        <f>IF(Q46&gt;0,-1,P46*K46/60)</f>
        <v>100</v>
      </c>
      <c r="S46" s="13" t="s">
        <v>108</v>
      </c>
    </row>
    <row r="47" spans="1:19" s="16" customFormat="1" x14ac:dyDescent="0.35">
      <c r="A47" s="17" t="s">
        <v>49</v>
      </c>
      <c r="B47" s="18">
        <v>1</v>
      </c>
      <c r="C47" s="16">
        <v>30</v>
      </c>
      <c r="D47" s="16">
        <v>0.5</v>
      </c>
      <c r="E47" s="16">
        <v>6</v>
      </c>
      <c r="F47" s="16" t="s">
        <v>63</v>
      </c>
      <c r="G47" s="16">
        <f>AVERAGE(84,82)</f>
        <v>83</v>
      </c>
      <c r="H47" s="16">
        <f t="shared" si="1"/>
        <v>0.72289156626506024</v>
      </c>
      <c r="I47" s="16">
        <v>180</v>
      </c>
      <c r="J47" s="19">
        <f>60*(1/(60*5+35))</f>
        <v>0.17910447761194029</v>
      </c>
      <c r="K47" s="19">
        <v>60</v>
      </c>
      <c r="M47" s="19"/>
      <c r="N47" s="19">
        <f t="shared" si="24"/>
        <v>0.9019960438770005</v>
      </c>
      <c r="O47" s="13" t="s">
        <v>94</v>
      </c>
      <c r="P47" s="16">
        <v>53</v>
      </c>
      <c r="Q47" s="16">
        <v>-1</v>
      </c>
      <c r="R47" s="16">
        <f t="shared" ref="R47:R49" si="25">IF(Q47&gt;0,-1,P47*K47/60)</f>
        <v>53</v>
      </c>
      <c r="S47" s="13" t="s">
        <v>108</v>
      </c>
    </row>
    <row r="48" spans="1:19" s="16" customFormat="1" x14ac:dyDescent="0.35">
      <c r="A48" s="17" t="s">
        <v>50</v>
      </c>
      <c r="B48" s="18">
        <v>1</v>
      </c>
      <c r="C48" s="16">
        <v>45</v>
      </c>
      <c r="D48" s="16">
        <v>0.5</v>
      </c>
      <c r="E48" s="16">
        <v>13</v>
      </c>
      <c r="F48" s="16" t="s">
        <v>62</v>
      </c>
      <c r="G48" s="16">
        <f>AVERAGE(90,87,98,94,96,94,100,100,101,105)</f>
        <v>96.5</v>
      </c>
      <c r="H48" s="16">
        <f t="shared" si="1"/>
        <v>0.62176165803108807</v>
      </c>
      <c r="I48" s="16">
        <v>180</v>
      </c>
      <c r="J48" s="19">
        <f>60*(1/(60*5+46))</f>
        <v>0.17341040462427745</v>
      </c>
      <c r="K48" s="19">
        <v>60</v>
      </c>
      <c r="M48" s="19"/>
      <c r="N48" s="19">
        <f t="shared" si="24"/>
        <v>0.79517206265536555</v>
      </c>
      <c r="O48" s="13" t="s">
        <v>94</v>
      </c>
      <c r="P48" s="16">
        <v>80</v>
      </c>
      <c r="Q48" s="16">
        <v>-1</v>
      </c>
      <c r="R48" s="16">
        <f t="shared" si="25"/>
        <v>80</v>
      </c>
      <c r="S48" s="13" t="s">
        <v>108</v>
      </c>
    </row>
    <row r="49" spans="1:19" s="16" customFormat="1" x14ac:dyDescent="0.35">
      <c r="A49" s="17" t="s">
        <v>51</v>
      </c>
      <c r="B49" s="18">
        <v>1</v>
      </c>
      <c r="C49" s="16">
        <v>32</v>
      </c>
      <c r="D49" s="16">
        <v>0.5</v>
      </c>
      <c r="E49" s="16">
        <v>6</v>
      </c>
      <c r="F49" s="16" t="s">
        <v>76</v>
      </c>
      <c r="G49" s="16">
        <f>AVERAGE(83,82,82)</f>
        <v>82.333333333333329</v>
      </c>
      <c r="H49" s="16">
        <f t="shared" si="1"/>
        <v>0.72874493927125505</v>
      </c>
      <c r="I49" s="16">
        <v>180</v>
      </c>
      <c r="J49" s="19">
        <f>60*(1/(60*5+45))</f>
        <v>0.17391304347826086</v>
      </c>
      <c r="K49" s="19">
        <v>60</v>
      </c>
      <c r="M49" s="19"/>
      <c r="N49" s="19">
        <f t="shared" si="24"/>
        <v>0.90265798274951592</v>
      </c>
      <c r="O49" s="13" t="s">
        <v>94</v>
      </c>
      <c r="P49" s="16">
        <v>130</v>
      </c>
      <c r="Q49" s="16">
        <v>-1</v>
      </c>
      <c r="R49" s="16">
        <f t="shared" si="25"/>
        <v>130</v>
      </c>
      <c r="S49" s="13" t="s">
        <v>108</v>
      </c>
    </row>
    <row r="50" spans="1:19" s="16" customFormat="1" x14ac:dyDescent="0.35">
      <c r="A50" s="17" t="s">
        <v>74</v>
      </c>
      <c r="B50" s="18">
        <v>1</v>
      </c>
      <c r="C50" s="16">
        <v>48</v>
      </c>
      <c r="D50" s="16">
        <v>0.5</v>
      </c>
      <c r="F50" s="16" t="s">
        <v>75</v>
      </c>
      <c r="G50" s="16">
        <f>AVERAGE(74,74,74,73,77,78,77,79,81,79,79,80,87,81)</f>
        <v>78.071428571428569</v>
      </c>
      <c r="H50" s="16">
        <f t="shared" ref="H50" si="26">60/G50</f>
        <v>0.76852698993595614</v>
      </c>
      <c r="I50" s="16">
        <v>180</v>
      </c>
      <c r="J50" s="19">
        <f>-60*(1/(5*60+40))</f>
        <v>-0.1764705882352941</v>
      </c>
      <c r="K50" s="19">
        <v>30</v>
      </c>
      <c r="L50" s="16" t="s">
        <v>100</v>
      </c>
      <c r="M50" s="19"/>
      <c r="N50" s="19">
        <f t="shared" ref="N50" si="27">H50+J50</f>
        <v>0.59205640170066198</v>
      </c>
      <c r="O50" s="13" t="s">
        <v>110</v>
      </c>
      <c r="P50" s="16">
        <v>280</v>
      </c>
      <c r="Q50" s="16">
        <f>IF(R50&gt;0,-1,P50*K50/60)</f>
        <v>140</v>
      </c>
      <c r="R50" s="16">
        <v>-1</v>
      </c>
      <c r="S50" s="13" t="s">
        <v>109</v>
      </c>
    </row>
    <row r="51" spans="1:19" s="16" customFormat="1" x14ac:dyDescent="0.35">
      <c r="A51" s="17" t="s">
        <v>74</v>
      </c>
      <c r="B51" s="18">
        <v>2</v>
      </c>
      <c r="C51" s="16">
        <v>48</v>
      </c>
      <c r="D51" s="16">
        <v>0.5</v>
      </c>
      <c r="F51" s="16" t="s">
        <v>75</v>
      </c>
      <c r="G51" s="16">
        <f>AVERAGE(74,74,74,73,77,78,77,79,81,79,79,80,87,81)</f>
        <v>78.071428571428569</v>
      </c>
      <c r="H51" s="16">
        <f t="shared" si="1"/>
        <v>0.76852698993595614</v>
      </c>
      <c r="I51" s="16">
        <v>180</v>
      </c>
      <c r="J51" s="19">
        <f>-60*(1/(5*60+40))</f>
        <v>-0.1764705882352941</v>
      </c>
      <c r="K51" s="19">
        <v>30</v>
      </c>
      <c r="L51" s="16" t="s">
        <v>100</v>
      </c>
      <c r="M51" s="19"/>
      <c r="N51" s="19">
        <f>H51+J51</f>
        <v>0.59205640170066198</v>
      </c>
      <c r="O51" s="13" t="s">
        <v>110</v>
      </c>
      <c r="P51" s="16">
        <v>227</v>
      </c>
      <c r="Q51" s="16">
        <f t="shared" ref="Q51" si="28">IF(R51&gt;0,-1,P51*K51/60)</f>
        <v>113.5</v>
      </c>
      <c r="R51" s="16">
        <v>-1</v>
      </c>
      <c r="S51" s="13" t="s">
        <v>109</v>
      </c>
    </row>
    <row r="52" spans="1:19" s="16" customFormat="1" x14ac:dyDescent="0.35">
      <c r="A52" s="17" t="s">
        <v>87</v>
      </c>
      <c r="B52" s="18">
        <v>1</v>
      </c>
      <c r="C52" s="16">
        <v>34</v>
      </c>
      <c r="D52" s="16">
        <v>0.5</v>
      </c>
      <c r="F52" s="16" t="s">
        <v>88</v>
      </c>
      <c r="G52" s="16">
        <f>AVERAGE(77,79,81,78)</f>
        <v>78.75</v>
      </c>
      <c r="H52" s="16">
        <f t="shared" ref="H52" si="29">60/G52</f>
        <v>0.76190476190476186</v>
      </c>
      <c r="I52" s="16">
        <v>180</v>
      </c>
      <c r="J52" s="19">
        <f>-60/(5*60+45)</f>
        <v>-0.17391304347826086</v>
      </c>
      <c r="K52" s="19">
        <v>30</v>
      </c>
      <c r="L52" s="16" t="s">
        <v>100</v>
      </c>
      <c r="M52" s="19"/>
      <c r="N52" s="19">
        <f t="shared" ref="N52" si="30">H52+J52</f>
        <v>0.587991718426501</v>
      </c>
      <c r="O52" s="13" t="s">
        <v>110</v>
      </c>
      <c r="P52" s="16">
        <v>360</v>
      </c>
      <c r="Q52" s="16">
        <f t="shared" ref="Q52:Q55" si="31">IF(R52&gt;0,-1,P52*K52/60)</f>
        <v>180</v>
      </c>
      <c r="R52" s="16">
        <v>-1</v>
      </c>
      <c r="S52" s="13" t="s">
        <v>109</v>
      </c>
    </row>
    <row r="53" spans="1:19" s="16" customFormat="1" x14ac:dyDescent="0.35">
      <c r="A53" s="17" t="s">
        <v>87</v>
      </c>
      <c r="B53" s="18">
        <v>2</v>
      </c>
      <c r="C53" s="16">
        <v>34</v>
      </c>
      <c r="D53" s="16">
        <v>0.5</v>
      </c>
      <c r="F53" s="16" t="s">
        <v>88</v>
      </c>
      <c r="G53" s="16">
        <f>AVERAGE(77,79,81,78)</f>
        <v>78.75</v>
      </c>
      <c r="H53" s="16">
        <f t="shared" si="1"/>
        <v>0.76190476190476186</v>
      </c>
      <c r="I53" s="16">
        <v>180</v>
      </c>
      <c r="J53" s="19">
        <f>-60/(5*60+45)</f>
        <v>-0.17391304347826086</v>
      </c>
      <c r="K53" s="19">
        <v>30</v>
      </c>
      <c r="L53" s="16" t="s">
        <v>100</v>
      </c>
      <c r="M53" s="19"/>
      <c r="N53" s="19">
        <f t="shared" ref="N53:N59" si="32">H53+J53</f>
        <v>0.587991718426501</v>
      </c>
      <c r="O53" s="13" t="s">
        <v>110</v>
      </c>
      <c r="P53" s="16">
        <v>600</v>
      </c>
      <c r="Q53" s="16">
        <f t="shared" si="31"/>
        <v>300</v>
      </c>
      <c r="R53" s="16">
        <v>-1</v>
      </c>
      <c r="S53" s="13" t="s">
        <v>109</v>
      </c>
    </row>
    <row r="54" spans="1:19" s="16" customFormat="1" x14ac:dyDescent="0.35">
      <c r="A54" s="17" t="s">
        <v>89</v>
      </c>
      <c r="B54" s="18">
        <v>1</v>
      </c>
      <c r="C54" s="16">
        <v>34</v>
      </c>
      <c r="D54" s="16">
        <v>0.5</v>
      </c>
      <c r="F54" s="16" t="s">
        <v>103</v>
      </c>
      <c r="G54" s="16">
        <v>77</v>
      </c>
      <c r="H54" s="16">
        <f t="shared" si="1"/>
        <v>0.77922077922077926</v>
      </c>
      <c r="I54" s="16">
        <v>160</v>
      </c>
      <c r="J54" s="19">
        <f>-60*(1/(6*60+19))</f>
        <v>-0.15831134564643798</v>
      </c>
      <c r="K54" s="19">
        <v>30</v>
      </c>
      <c r="L54" s="16" t="s">
        <v>100</v>
      </c>
      <c r="M54" s="19" t="s">
        <v>102</v>
      </c>
      <c r="N54" s="19">
        <f t="shared" si="32"/>
        <v>0.62090943357434125</v>
      </c>
      <c r="O54" s="13" t="s">
        <v>110</v>
      </c>
      <c r="P54" s="16">
        <v>600</v>
      </c>
      <c r="Q54" s="16">
        <f t="shared" si="31"/>
        <v>300</v>
      </c>
      <c r="R54" s="16">
        <v>-1</v>
      </c>
      <c r="S54" s="13" t="s">
        <v>109</v>
      </c>
    </row>
    <row r="55" spans="1:19" s="16" customFormat="1" x14ac:dyDescent="0.35">
      <c r="A55" s="17" t="s">
        <v>89</v>
      </c>
      <c r="B55" s="18">
        <v>2</v>
      </c>
      <c r="C55" s="16">
        <v>34</v>
      </c>
      <c r="D55" s="16">
        <v>0.5</v>
      </c>
      <c r="F55" s="16" t="s">
        <v>103</v>
      </c>
      <c r="G55" s="16">
        <v>77</v>
      </c>
      <c r="H55" s="16">
        <f t="shared" ref="H55" si="33">60/G55</f>
        <v>0.77922077922077926</v>
      </c>
      <c r="I55" s="16">
        <v>160</v>
      </c>
      <c r="J55" s="19">
        <f>-60*(1/(6*60+19))</f>
        <v>-0.15831134564643798</v>
      </c>
      <c r="K55" s="19">
        <v>30</v>
      </c>
      <c r="L55" s="16" t="s">
        <v>100</v>
      </c>
      <c r="M55" s="19"/>
      <c r="N55" s="19">
        <f t="shared" si="32"/>
        <v>0.62090943357434125</v>
      </c>
      <c r="O55" s="13" t="s">
        <v>110</v>
      </c>
      <c r="P55" s="16">
        <v>220</v>
      </c>
      <c r="Q55" s="16">
        <f t="shared" si="31"/>
        <v>110</v>
      </c>
      <c r="R55" s="16">
        <v>-1</v>
      </c>
      <c r="S55" s="13" t="s">
        <v>109</v>
      </c>
    </row>
    <row r="56" spans="1:19" s="16" customFormat="1" x14ac:dyDescent="0.35">
      <c r="A56" s="17" t="s">
        <v>89</v>
      </c>
      <c r="B56" s="18">
        <v>3</v>
      </c>
      <c r="C56" s="16">
        <v>34</v>
      </c>
      <c r="D56" s="16">
        <v>0.5</v>
      </c>
      <c r="F56" s="16" t="s">
        <v>103</v>
      </c>
      <c r="G56" s="16">
        <v>81</v>
      </c>
      <c r="H56" s="16">
        <f t="shared" si="1"/>
        <v>0.7407407407407407</v>
      </c>
      <c r="I56" s="16">
        <v>160</v>
      </c>
      <c r="J56" s="19">
        <f>-60*(1/(6*60+19))</f>
        <v>-0.15831134564643798</v>
      </c>
      <c r="K56" s="19">
        <v>30</v>
      </c>
      <c r="N56" s="19">
        <f t="shared" si="32"/>
        <v>0.58242939509430269</v>
      </c>
      <c r="O56" s="13" t="s">
        <v>110</v>
      </c>
      <c r="P56" s="16">
        <v>420</v>
      </c>
      <c r="Q56" s="16">
        <v>-1</v>
      </c>
      <c r="R56" s="16">
        <f>IF(Q56&gt;0,-1,P56*K56/60)</f>
        <v>210</v>
      </c>
      <c r="S56" s="13" t="s">
        <v>108</v>
      </c>
    </row>
    <row r="57" spans="1:19" s="16" customFormat="1" x14ac:dyDescent="0.35">
      <c r="A57" s="17" t="s">
        <v>20</v>
      </c>
      <c r="B57" s="18">
        <v>1</v>
      </c>
      <c r="C57" s="16">
        <v>31</v>
      </c>
      <c r="D57" s="16">
        <v>0.5</v>
      </c>
      <c r="F57" s="16" t="s">
        <v>103</v>
      </c>
      <c r="G57" s="16">
        <v>73</v>
      </c>
      <c r="H57" s="16">
        <f t="shared" si="1"/>
        <v>0.82191780821917804</v>
      </c>
      <c r="I57" s="16">
        <v>160</v>
      </c>
      <c r="J57" s="19">
        <f>-60*(1/(6*60+19))</f>
        <v>-0.15831134564643798</v>
      </c>
      <c r="K57" s="19">
        <v>30</v>
      </c>
      <c r="M57" s="19" t="s">
        <v>102</v>
      </c>
      <c r="N57" s="19">
        <f t="shared" si="32"/>
        <v>0.66360646257274003</v>
      </c>
      <c r="O57" s="13" t="s">
        <v>110</v>
      </c>
      <c r="P57" s="16">
        <v>-1</v>
      </c>
      <c r="Q57" s="16">
        <v>-1</v>
      </c>
      <c r="R57" s="16">
        <v>-1</v>
      </c>
      <c r="S57" s="13" t="s">
        <v>108</v>
      </c>
    </row>
    <row r="58" spans="1:19" s="16" customFormat="1" x14ac:dyDescent="0.35">
      <c r="A58" s="17" t="s">
        <v>24</v>
      </c>
      <c r="B58" s="18">
        <v>1</v>
      </c>
      <c r="C58" s="16">
        <v>40</v>
      </c>
      <c r="D58" s="16">
        <v>0.5</v>
      </c>
      <c r="F58" s="16" t="s">
        <v>103</v>
      </c>
      <c r="G58" s="16">
        <v>87</v>
      </c>
      <c r="H58" s="16">
        <f t="shared" si="1"/>
        <v>0.68965517241379315</v>
      </c>
      <c r="I58" s="16">
        <v>160</v>
      </c>
      <c r="J58" s="19">
        <f>60*(1/(6*60+19))</f>
        <v>0.15831134564643798</v>
      </c>
      <c r="K58" s="19">
        <v>30</v>
      </c>
      <c r="M58" s="19"/>
      <c r="N58" s="19">
        <f t="shared" si="32"/>
        <v>0.84796651806023116</v>
      </c>
      <c r="O58" s="13" t="s">
        <v>94</v>
      </c>
      <c r="P58" s="16">
        <v>140</v>
      </c>
      <c r="Q58" s="16">
        <v>-1</v>
      </c>
      <c r="R58" s="16">
        <f>IF(Q58&gt;0,-1,P58*K57/60)</f>
        <v>70</v>
      </c>
      <c r="S58" s="13" t="s">
        <v>108</v>
      </c>
    </row>
    <row r="59" spans="1:19" s="16" customFormat="1" x14ac:dyDescent="0.35">
      <c r="A59" s="17" t="s">
        <v>23</v>
      </c>
      <c r="B59" s="18">
        <v>1</v>
      </c>
      <c r="C59" s="16">
        <v>45</v>
      </c>
      <c r="D59" s="16">
        <v>0.5</v>
      </c>
      <c r="F59" s="16" t="s">
        <v>103</v>
      </c>
      <c r="G59" s="16">
        <v>85</v>
      </c>
      <c r="H59" s="16">
        <f t="shared" si="1"/>
        <v>0.70588235294117652</v>
      </c>
      <c r="I59" s="16">
        <v>160</v>
      </c>
      <c r="J59" s="19">
        <f>60*(1/(6*60+19))</f>
        <v>0.15831134564643798</v>
      </c>
      <c r="K59" s="19">
        <v>30</v>
      </c>
      <c r="M59" s="19"/>
      <c r="N59" s="19">
        <f t="shared" si="32"/>
        <v>0.86419369858761452</v>
      </c>
      <c r="O59" s="13" t="s">
        <v>94</v>
      </c>
      <c r="P59" s="16">
        <v>100</v>
      </c>
      <c r="Q59" s="16">
        <v>-1</v>
      </c>
      <c r="R59" s="16">
        <f t="shared" ref="R59" si="34">IF(Q59&gt;0,-1,P59*K59/60)</f>
        <v>50</v>
      </c>
      <c r="S59" s="13" t="s">
        <v>108</v>
      </c>
    </row>
    <row r="68" spans="4:17" x14ac:dyDescent="0.35">
      <c r="D68" s="20"/>
      <c r="E68"/>
      <c r="J68" s="10"/>
      <c r="K68"/>
      <c r="L68" s="10"/>
      <c r="M68"/>
      <c r="O68" s="10"/>
      <c r="Q68"/>
    </row>
    <row r="69" spans="4:17" x14ac:dyDescent="0.35">
      <c r="D69" s="2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I2" sqref="I2"/>
    </sheetView>
  </sheetViews>
  <sheetFormatPr defaultRowHeight="14.5" x14ac:dyDescent="0.35"/>
  <cols>
    <col min="1" max="1" width="10.90625" bestFit="1" customWidth="1"/>
    <col min="2" max="2" width="17" bestFit="1" customWidth="1"/>
    <col min="3" max="3" width="14.6328125" bestFit="1" customWidth="1"/>
    <col min="4" max="4" width="19.54296875" customWidth="1"/>
    <col min="8" max="8" width="11.1796875" bestFit="1" customWidth="1"/>
    <col min="9" max="9" width="17.26953125" bestFit="1" customWidth="1"/>
    <col min="15" max="15" width="11.1796875" bestFit="1" customWidth="1"/>
    <col min="16" max="16" width="17.26953125" bestFit="1" customWidth="1"/>
  </cols>
  <sheetData>
    <row r="1" spans="1:19" ht="18.5" x14ac:dyDescent="0.45">
      <c r="A1" t="s">
        <v>27</v>
      </c>
      <c r="B1" t="s">
        <v>28</v>
      </c>
      <c r="C1" t="s">
        <v>79</v>
      </c>
      <c r="D1" s="5"/>
      <c r="H1" s="10" t="s">
        <v>38</v>
      </c>
      <c r="I1" s="10" t="s">
        <v>39</v>
      </c>
      <c r="J1" t="s">
        <v>78</v>
      </c>
      <c r="K1" s="10" t="s">
        <v>79</v>
      </c>
      <c r="N1" s="10"/>
      <c r="O1" s="10" t="s">
        <v>38</v>
      </c>
      <c r="P1" s="10" t="s">
        <v>39</v>
      </c>
      <c r="Q1" s="10" t="s">
        <v>78</v>
      </c>
      <c r="R1" s="10"/>
      <c r="S1" s="10"/>
    </row>
    <row r="2" spans="1:19" x14ac:dyDescent="0.35">
      <c r="A2">
        <v>110</v>
      </c>
      <c r="B2">
        <v>100</v>
      </c>
      <c r="C2">
        <f>60/B2</f>
        <v>0.6</v>
      </c>
      <c r="H2" s="10">
        <v>255</v>
      </c>
      <c r="I2" s="11">
        <f>-60*(1/(4*60+35))</f>
        <v>-0.21818181818181817</v>
      </c>
      <c r="J2" s="10">
        <f t="shared" ref="J2:J14" si="0">ABS(I2)</f>
        <v>0.21818181818181817</v>
      </c>
      <c r="K2" s="10">
        <v>0.5</v>
      </c>
      <c r="N2" s="10"/>
      <c r="O2" s="10">
        <v>110</v>
      </c>
      <c r="P2" s="11">
        <f>-60*(1/105)</f>
        <v>-0.57142857142857151</v>
      </c>
      <c r="Q2" s="10">
        <f>ABS(P2)</f>
        <v>0.57142857142857151</v>
      </c>
      <c r="R2" s="10">
        <v>2</v>
      </c>
      <c r="S2" s="11"/>
    </row>
    <row r="3" spans="1:19" x14ac:dyDescent="0.35">
      <c r="A3">
        <v>135</v>
      </c>
      <c r="B3">
        <v>92</v>
      </c>
      <c r="C3">
        <f>60/B3</f>
        <v>0.65217391304347827</v>
      </c>
      <c r="H3" s="10">
        <v>255</v>
      </c>
      <c r="I3" s="11">
        <f>I2</f>
        <v>-0.21818181818181817</v>
      </c>
      <c r="J3" s="10">
        <f t="shared" si="0"/>
        <v>0.21818181818181817</v>
      </c>
      <c r="K3" s="10">
        <v>0.5</v>
      </c>
      <c r="N3" s="10"/>
      <c r="O3" s="10">
        <v>110</v>
      </c>
      <c r="P3" s="11">
        <f>0.6</f>
        <v>0.6</v>
      </c>
      <c r="Q3" s="10">
        <f t="shared" ref="Q3:Q5" si="1">ABS(P3)</f>
        <v>0.6</v>
      </c>
      <c r="R3" s="10">
        <v>2</v>
      </c>
      <c r="S3" s="11"/>
    </row>
    <row r="4" spans="1:19" x14ac:dyDescent="0.35">
      <c r="A4">
        <v>150</v>
      </c>
      <c r="B4">
        <v>85</v>
      </c>
      <c r="C4">
        <f t="shared" ref="C4:C9" si="2">60/B4</f>
        <v>0.70588235294117652</v>
      </c>
      <c r="H4" s="10">
        <v>150</v>
      </c>
      <c r="I4" s="11">
        <f>-60*(1/(6*60+23))</f>
        <v>-0.1566579634464752</v>
      </c>
      <c r="J4" s="10">
        <f t="shared" si="0"/>
        <v>0.1566579634464752</v>
      </c>
      <c r="K4" s="10">
        <v>0.5</v>
      </c>
      <c r="O4" s="10">
        <v>180</v>
      </c>
      <c r="P4" s="11">
        <f>60*(1/78)</f>
        <v>0.76923076923076916</v>
      </c>
      <c r="Q4" s="10">
        <f t="shared" si="1"/>
        <v>0.76923076923076916</v>
      </c>
      <c r="R4" s="10">
        <v>2</v>
      </c>
    </row>
    <row r="5" spans="1:19" x14ac:dyDescent="0.35">
      <c r="A5">
        <v>180</v>
      </c>
      <c r="B5">
        <v>80</v>
      </c>
      <c r="C5">
        <f t="shared" si="2"/>
        <v>0.75</v>
      </c>
      <c r="H5" s="10">
        <v>160</v>
      </c>
      <c r="I5" s="11">
        <f>-60*(1/(6*60+19))</f>
        <v>-0.15831134564643798</v>
      </c>
      <c r="J5" s="10">
        <f t="shared" si="0"/>
        <v>0.15831134564643798</v>
      </c>
      <c r="K5" s="10">
        <v>0.5</v>
      </c>
      <c r="O5" s="10">
        <v>135</v>
      </c>
      <c r="P5" s="11">
        <f>-60*(1/102)</f>
        <v>-0.58823529411764708</v>
      </c>
      <c r="Q5" s="10">
        <f t="shared" si="1"/>
        <v>0.58823529411764708</v>
      </c>
      <c r="R5" s="10">
        <v>2</v>
      </c>
    </row>
    <row r="6" spans="1:19" x14ac:dyDescent="0.35">
      <c r="A6">
        <v>200</v>
      </c>
      <c r="B6">
        <v>80</v>
      </c>
      <c r="C6">
        <f t="shared" si="2"/>
        <v>0.75</v>
      </c>
      <c r="H6" s="10">
        <v>200</v>
      </c>
      <c r="I6" s="11">
        <f>60*(1/(60*5+28))</f>
        <v>0.18292682926829268</v>
      </c>
      <c r="J6" s="10">
        <f t="shared" si="0"/>
        <v>0.18292682926829268</v>
      </c>
      <c r="K6" s="10">
        <v>0.5</v>
      </c>
      <c r="O6" s="10"/>
      <c r="P6" s="11"/>
      <c r="Q6" s="10"/>
      <c r="R6" s="10"/>
      <c r="S6" s="10"/>
    </row>
    <row r="7" spans="1:19" x14ac:dyDescent="0.35">
      <c r="A7">
        <v>220</v>
      </c>
      <c r="B7">
        <v>78</v>
      </c>
      <c r="C7">
        <f t="shared" si="2"/>
        <v>0.76923076923076927</v>
      </c>
      <c r="H7" s="10">
        <v>220</v>
      </c>
      <c r="I7" s="11">
        <f>60*(1/(60*5+24))</f>
        <v>0.18518518518518517</v>
      </c>
      <c r="J7" s="10">
        <f t="shared" si="0"/>
        <v>0.18518518518518517</v>
      </c>
      <c r="K7" s="10">
        <v>0.5</v>
      </c>
      <c r="O7" s="10"/>
      <c r="P7" s="11"/>
      <c r="Q7" s="10"/>
      <c r="R7" s="10"/>
      <c r="S7" s="10"/>
    </row>
    <row r="8" spans="1:19" x14ac:dyDescent="0.35">
      <c r="A8">
        <v>240</v>
      </c>
      <c r="B8">
        <v>75</v>
      </c>
      <c r="C8">
        <f t="shared" si="2"/>
        <v>0.8</v>
      </c>
      <c r="H8" s="10">
        <v>240</v>
      </c>
      <c r="I8" s="11">
        <f>60*(1/(60*5+10))</f>
        <v>0.19354838709677419</v>
      </c>
      <c r="J8" s="10">
        <f t="shared" si="0"/>
        <v>0.19354838709677419</v>
      </c>
      <c r="K8" s="10">
        <v>0.5</v>
      </c>
      <c r="O8" s="10"/>
      <c r="P8" s="11"/>
      <c r="Q8" s="10"/>
      <c r="R8" s="10"/>
      <c r="S8" s="10"/>
    </row>
    <row r="9" spans="1:19" x14ac:dyDescent="0.35">
      <c r="A9">
        <v>255</v>
      </c>
      <c r="B9">
        <v>70</v>
      </c>
      <c r="C9">
        <f t="shared" si="2"/>
        <v>0.8571428571428571</v>
      </c>
      <c r="H9" s="10">
        <v>255</v>
      </c>
      <c r="I9" s="11">
        <f>60*(1/(60*4+23))</f>
        <v>0.22813688212927757</v>
      </c>
      <c r="J9" s="10">
        <f t="shared" si="0"/>
        <v>0.22813688212927757</v>
      </c>
      <c r="K9" s="10">
        <v>0.5</v>
      </c>
      <c r="O9" s="10"/>
      <c r="P9" s="11"/>
      <c r="Q9" s="10"/>
      <c r="R9" s="10"/>
      <c r="S9" s="10"/>
    </row>
    <row r="10" spans="1:19" x14ac:dyDescent="0.35">
      <c r="H10" s="10">
        <v>190</v>
      </c>
      <c r="I10" s="11">
        <f>60*(1/(60*5+30))</f>
        <v>0.18181818181818182</v>
      </c>
      <c r="J10" s="10">
        <f t="shared" si="0"/>
        <v>0.18181818181818182</v>
      </c>
      <c r="K10" s="10">
        <v>0.5</v>
      </c>
      <c r="Q10" s="10"/>
      <c r="S10" s="10"/>
    </row>
    <row r="11" spans="1:19" x14ac:dyDescent="0.35">
      <c r="H11" s="10">
        <v>180</v>
      </c>
      <c r="I11" s="11">
        <f>60*(1/(60*5+35))</f>
        <v>0.17910447761194029</v>
      </c>
      <c r="J11" s="10">
        <f t="shared" si="0"/>
        <v>0.17910447761194029</v>
      </c>
      <c r="K11" s="10">
        <v>0.5</v>
      </c>
      <c r="Q11" s="10"/>
    </row>
    <row r="12" spans="1:19" x14ac:dyDescent="0.35">
      <c r="H12" s="10">
        <v>180</v>
      </c>
      <c r="I12" s="11">
        <f>60*(1/(60*5+46))</f>
        <v>0.17341040462427745</v>
      </c>
      <c r="J12" s="10">
        <f t="shared" si="0"/>
        <v>0.17341040462427745</v>
      </c>
      <c r="K12" s="10">
        <v>0.5</v>
      </c>
      <c r="Q12" s="10"/>
    </row>
    <row r="13" spans="1:19" x14ac:dyDescent="0.35">
      <c r="H13" s="10">
        <v>180</v>
      </c>
      <c r="I13" s="11">
        <f>60*(1/(60*5+45))</f>
        <v>0.17391304347826086</v>
      </c>
      <c r="J13" s="10">
        <f t="shared" si="0"/>
        <v>0.17391304347826086</v>
      </c>
      <c r="K13" s="10">
        <v>0.5</v>
      </c>
      <c r="Q13" s="10"/>
    </row>
    <row r="14" spans="1:19" x14ac:dyDescent="0.35">
      <c r="H14" s="10">
        <v>180</v>
      </c>
      <c r="I14" s="11">
        <f>-60*(1/(60*5+35))</f>
        <v>-0.17910447761194029</v>
      </c>
      <c r="J14" s="10">
        <f t="shared" si="0"/>
        <v>0.17910447761194029</v>
      </c>
      <c r="K14" s="10">
        <v>0.5</v>
      </c>
      <c r="O14" s="10"/>
      <c r="P14" s="10"/>
      <c r="Q14" s="10"/>
    </row>
    <row r="15" spans="1:19" x14ac:dyDescent="0.35">
      <c r="H15" s="10"/>
      <c r="I15" s="11"/>
      <c r="J15" s="10"/>
      <c r="O15" s="10"/>
      <c r="P15" s="10"/>
      <c r="Q15" s="10"/>
    </row>
    <row r="16" spans="1:19" x14ac:dyDescent="0.35">
      <c r="H16" s="10"/>
      <c r="I16" s="11"/>
      <c r="J16" s="10"/>
    </row>
  </sheetData>
  <pageMargins left="0.7" right="0.7" top="0.75" bottom="0.75" header="0.3" footer="0.3"/>
  <pageSetup paperSize="0" orientation="portrait" horizontalDpi="0" verticalDpi="0" copies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8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1" sqref="H11"/>
    </sheetView>
  </sheetViews>
  <sheetFormatPr defaultRowHeight="14.5" x14ac:dyDescent="0.35"/>
  <cols>
    <col min="1" max="1" width="5.7265625" style="1" customWidth="1"/>
    <col min="2" max="2" width="5.54296875" style="4" customWidth="1"/>
    <col min="3" max="3" width="14.81640625" style="8" bestFit="1" customWidth="1"/>
    <col min="4" max="4" width="12.36328125" style="4" bestFit="1" customWidth="1"/>
    <col min="5" max="5" width="11.36328125" customWidth="1"/>
    <col min="6" max="6" width="14.7265625" bestFit="1" customWidth="1"/>
    <col min="7" max="7" width="26.90625" bestFit="1" customWidth="1"/>
    <col min="8" max="8" width="11.453125" bestFit="1" customWidth="1"/>
    <col min="9" max="23" width="8.7265625" style="4"/>
    <col min="24" max="24" width="18.26953125" customWidth="1"/>
    <col min="25" max="25" width="16.453125" bestFit="1" customWidth="1"/>
    <col min="26" max="26" width="6.90625" bestFit="1" customWidth="1"/>
    <col min="27" max="27" width="3.81640625" bestFit="1" customWidth="1"/>
  </cols>
  <sheetData>
    <row r="1" spans="1:23" x14ac:dyDescent="0.35">
      <c r="A1" s="2" t="s">
        <v>0</v>
      </c>
      <c r="B1" s="4" t="s">
        <v>1</v>
      </c>
      <c r="C1" s="6" t="s">
        <v>19</v>
      </c>
      <c r="D1" s="4" t="s">
        <v>2</v>
      </c>
      <c r="E1" s="9" t="s">
        <v>32</v>
      </c>
      <c r="F1" s="2" t="s">
        <v>3</v>
      </c>
      <c r="G1" s="2" t="s">
        <v>4</v>
      </c>
      <c r="H1" t="s">
        <v>18</v>
      </c>
      <c r="I1" s="4" t="s">
        <v>17</v>
      </c>
    </row>
    <row r="2" spans="1:23" x14ac:dyDescent="0.35">
      <c r="A2" s="2" t="s">
        <v>5</v>
      </c>
      <c r="B2" s="4">
        <v>1</v>
      </c>
      <c r="C2" s="6" t="s">
        <v>20</v>
      </c>
      <c r="D2" s="4">
        <v>19</v>
      </c>
      <c r="E2" s="2">
        <f t="shared" ref="E2:E33" si="0">D2/H2</f>
        <v>0.21821164889253486</v>
      </c>
      <c r="F2" s="2">
        <f>2*PI()/H2</f>
        <v>7.2161275061947666E-2</v>
      </c>
      <c r="G2" s="2">
        <f t="shared" ref="G2:G33" si="1">F2*D2</f>
        <v>1.3710642261770056</v>
      </c>
      <c r="H2" s="3">
        <f>AVERAGE(I2:V2)</f>
        <v>87.071428571428569</v>
      </c>
      <c r="I2" s="4">
        <v>82</v>
      </c>
      <c r="J2" s="4">
        <v>85</v>
      </c>
      <c r="K2" s="4">
        <v>81</v>
      </c>
      <c r="L2" s="4">
        <v>91</v>
      </c>
      <c r="M2" s="4">
        <v>79</v>
      </c>
      <c r="N2" s="4">
        <v>89</v>
      </c>
      <c r="O2" s="4">
        <v>82</v>
      </c>
      <c r="P2" s="4">
        <v>90</v>
      </c>
      <c r="Q2" s="4">
        <v>88</v>
      </c>
      <c r="R2" s="4">
        <v>88</v>
      </c>
      <c r="S2" s="4">
        <v>88</v>
      </c>
      <c r="T2" s="4">
        <v>88</v>
      </c>
      <c r="U2" s="4">
        <v>90</v>
      </c>
      <c r="V2" s="4">
        <v>98</v>
      </c>
    </row>
    <row r="3" spans="1:23" x14ac:dyDescent="0.35">
      <c r="A3" s="2" t="s">
        <v>5</v>
      </c>
      <c r="B3" s="4">
        <v>2</v>
      </c>
      <c r="C3" s="6" t="s">
        <v>20</v>
      </c>
      <c r="D3" s="4">
        <v>14</v>
      </c>
      <c r="E3" s="2">
        <f t="shared" si="0"/>
        <v>0.16078753076292043</v>
      </c>
      <c r="F3" s="2">
        <f t="shared" ref="F3:F66" si="2">2*PI()/H3</f>
        <v>7.2161275061947666E-2</v>
      </c>
      <c r="G3" s="2">
        <f t="shared" si="1"/>
        <v>1.0102578508672673</v>
      </c>
      <c r="H3" s="3">
        <v>87.071428571428569</v>
      </c>
    </row>
    <row r="4" spans="1:23" x14ac:dyDescent="0.35">
      <c r="A4" s="2" t="s">
        <v>6</v>
      </c>
      <c r="B4" s="4">
        <v>1</v>
      </c>
      <c r="C4" s="6" t="s">
        <v>21</v>
      </c>
      <c r="D4" s="4">
        <v>5</v>
      </c>
      <c r="E4" s="2">
        <f t="shared" si="0"/>
        <v>5.9021922428330528E-2</v>
      </c>
      <c r="F4" s="2">
        <f t="shared" si="2"/>
        <v>7.4169135160635932E-2</v>
      </c>
      <c r="G4" s="2">
        <f t="shared" si="1"/>
        <v>0.37084567580317968</v>
      </c>
      <c r="H4" s="3">
        <f>AVERAGE(I4:V4)</f>
        <v>84.714285714285708</v>
      </c>
      <c r="I4" s="4">
        <v>87</v>
      </c>
      <c r="J4" s="4">
        <v>87</v>
      </c>
      <c r="K4" s="4">
        <v>82</v>
      </c>
      <c r="L4" s="4">
        <v>81</v>
      </c>
      <c r="M4" s="4">
        <v>85</v>
      </c>
      <c r="N4" s="4">
        <v>85</v>
      </c>
      <c r="O4" s="4">
        <v>86</v>
      </c>
      <c r="P4" s="4">
        <v>80</v>
      </c>
      <c r="Q4" s="4">
        <v>86</v>
      </c>
      <c r="R4" s="4">
        <v>88</v>
      </c>
      <c r="S4" s="4">
        <v>78</v>
      </c>
      <c r="T4" s="4">
        <v>86</v>
      </c>
      <c r="U4" s="4">
        <v>89</v>
      </c>
      <c r="V4" s="4">
        <v>86</v>
      </c>
      <c r="W4" s="4">
        <v>88</v>
      </c>
    </row>
    <row r="5" spans="1:23" x14ac:dyDescent="0.35">
      <c r="A5" s="2" t="s">
        <v>6</v>
      </c>
      <c r="B5" s="4">
        <v>2</v>
      </c>
      <c r="C5" s="6" t="s">
        <v>21</v>
      </c>
      <c r="D5" s="4">
        <v>5</v>
      </c>
      <c r="E5" s="2">
        <f t="shared" si="0"/>
        <v>5.9021922428330528E-2</v>
      </c>
      <c r="F5" s="2">
        <f t="shared" si="2"/>
        <v>7.4169135160635932E-2</v>
      </c>
      <c r="G5" s="2">
        <f t="shared" si="1"/>
        <v>0.37084567580317968</v>
      </c>
      <c r="H5" s="3">
        <v>84.714285714285708</v>
      </c>
    </row>
    <row r="6" spans="1:23" x14ac:dyDescent="0.35">
      <c r="A6" s="2" t="s">
        <v>6</v>
      </c>
      <c r="B6" s="4">
        <v>3</v>
      </c>
      <c r="C6" s="6" t="s">
        <v>21</v>
      </c>
      <c r="D6" s="4">
        <v>5</v>
      </c>
      <c r="E6" s="2">
        <f t="shared" si="0"/>
        <v>5.9021922428330528E-2</v>
      </c>
      <c r="F6" s="2">
        <f t="shared" si="2"/>
        <v>7.4169135160635932E-2</v>
      </c>
      <c r="G6" s="2">
        <f t="shared" si="1"/>
        <v>0.37084567580317968</v>
      </c>
      <c r="H6" s="3">
        <v>84.714285714285708</v>
      </c>
    </row>
    <row r="7" spans="1:23" x14ac:dyDescent="0.35">
      <c r="A7" s="2" t="s">
        <v>6</v>
      </c>
      <c r="B7" s="4">
        <v>4</v>
      </c>
      <c r="C7" s="6" t="s">
        <v>21</v>
      </c>
      <c r="D7" s="4">
        <v>5</v>
      </c>
      <c r="E7" s="2">
        <f t="shared" si="0"/>
        <v>5.9021922428330535E-2</v>
      </c>
      <c r="F7" s="2">
        <f>2*PI()/H7</f>
        <v>7.4169135160635946E-2</v>
      </c>
      <c r="G7" s="2">
        <f t="shared" si="1"/>
        <v>0.37084567580317973</v>
      </c>
      <c r="H7" s="3">
        <v>84.714285714285694</v>
      </c>
    </row>
    <row r="8" spans="1:23" x14ac:dyDescent="0.35">
      <c r="A8" s="2" t="s">
        <v>6</v>
      </c>
      <c r="B8" s="4">
        <v>5</v>
      </c>
      <c r="C8" s="6" t="s">
        <v>21</v>
      </c>
      <c r="D8" s="4">
        <v>5</v>
      </c>
      <c r="E8" s="2">
        <f t="shared" si="0"/>
        <v>5.9021922428330528E-2</v>
      </c>
      <c r="F8" s="2">
        <f t="shared" si="2"/>
        <v>7.4169135160635932E-2</v>
      </c>
      <c r="G8" s="2">
        <f t="shared" si="1"/>
        <v>0.37084567580317968</v>
      </c>
      <c r="H8" s="3">
        <v>84.714285714285708</v>
      </c>
    </row>
    <row r="9" spans="1:23" x14ac:dyDescent="0.35">
      <c r="A9" s="2" t="s">
        <v>6</v>
      </c>
      <c r="B9" s="4">
        <v>6</v>
      </c>
      <c r="C9" s="6" t="s">
        <v>21</v>
      </c>
      <c r="D9" s="4">
        <v>5</v>
      </c>
      <c r="E9" s="2">
        <f t="shared" si="0"/>
        <v>5.9021922428330528E-2</v>
      </c>
      <c r="F9" s="2">
        <f t="shared" si="2"/>
        <v>7.4169135160635932E-2</v>
      </c>
      <c r="G9" s="2">
        <f t="shared" si="1"/>
        <v>0.37084567580317968</v>
      </c>
      <c r="H9" s="3">
        <v>84.714285714285708</v>
      </c>
    </row>
    <row r="10" spans="1:23" x14ac:dyDescent="0.35">
      <c r="A10" s="2" t="s">
        <v>6</v>
      </c>
      <c r="B10" s="4">
        <v>7</v>
      </c>
      <c r="C10" s="6" t="s">
        <v>21</v>
      </c>
      <c r="D10" s="4">
        <v>5</v>
      </c>
      <c r="E10" s="2">
        <f t="shared" si="0"/>
        <v>5.9021922428330528E-2</v>
      </c>
      <c r="F10" s="2">
        <f t="shared" si="2"/>
        <v>7.4169135160635932E-2</v>
      </c>
      <c r="G10" s="2">
        <f t="shared" si="1"/>
        <v>0.37084567580317968</v>
      </c>
      <c r="H10" s="3">
        <v>84.714285714285708</v>
      </c>
    </row>
    <row r="11" spans="1:23" x14ac:dyDescent="0.35">
      <c r="A11" s="2" t="s">
        <v>7</v>
      </c>
      <c r="B11" s="4">
        <v>1</v>
      </c>
      <c r="C11" s="6" t="s">
        <v>22</v>
      </c>
      <c r="D11" s="4">
        <v>11</v>
      </c>
      <c r="E11" s="2">
        <f t="shared" si="0"/>
        <v>0.13538461538461538</v>
      </c>
      <c r="F11" s="2">
        <f t="shared" si="2"/>
        <v>7.7331511472979522E-2</v>
      </c>
      <c r="G11" s="2">
        <f t="shared" si="1"/>
        <v>0.85064662620277476</v>
      </c>
      <c r="H11" s="3">
        <f>AVERAGE(I11:W11)</f>
        <v>81.25</v>
      </c>
      <c r="I11" s="4">
        <v>80</v>
      </c>
      <c r="J11" s="4">
        <v>80</v>
      </c>
      <c r="K11" s="4">
        <v>81</v>
      </c>
      <c r="L11" s="4">
        <v>79</v>
      </c>
      <c r="M11" s="4">
        <v>81</v>
      </c>
      <c r="N11" s="4">
        <v>82</v>
      </c>
      <c r="O11" s="4">
        <v>82</v>
      </c>
      <c r="P11" s="4">
        <v>85</v>
      </c>
    </row>
    <row r="12" spans="1:23" x14ac:dyDescent="0.35">
      <c r="A12" s="2" t="s">
        <v>7</v>
      </c>
      <c r="B12" s="4">
        <v>2</v>
      </c>
      <c r="C12" s="6" t="s">
        <v>22</v>
      </c>
      <c r="D12" s="4">
        <v>10</v>
      </c>
      <c r="E12" s="2">
        <f t="shared" si="0"/>
        <v>0.12307692307692308</v>
      </c>
      <c r="F12" s="2">
        <f t="shared" si="2"/>
        <v>7.7331511472979522E-2</v>
      </c>
      <c r="G12" s="2">
        <f t="shared" si="1"/>
        <v>0.77331511472979519</v>
      </c>
      <c r="H12" s="3">
        <v>81.25</v>
      </c>
    </row>
    <row r="13" spans="1:23" x14ac:dyDescent="0.35">
      <c r="A13" s="2" t="s">
        <v>7</v>
      </c>
      <c r="B13" s="4">
        <v>3</v>
      </c>
      <c r="C13" s="6" t="s">
        <v>22</v>
      </c>
      <c r="D13" s="4">
        <v>10</v>
      </c>
      <c r="E13" s="2">
        <f t="shared" si="0"/>
        <v>0.12307692307692308</v>
      </c>
      <c r="F13" s="2">
        <f t="shared" si="2"/>
        <v>7.7331511472979522E-2</v>
      </c>
      <c r="G13" s="2">
        <f t="shared" si="1"/>
        <v>0.77331511472979519</v>
      </c>
      <c r="H13" s="3">
        <v>81.25</v>
      </c>
    </row>
    <row r="14" spans="1:23" x14ac:dyDescent="0.35">
      <c r="A14" s="2" t="s">
        <v>7</v>
      </c>
      <c r="B14" s="4">
        <v>4</v>
      </c>
      <c r="C14" s="6" t="s">
        <v>22</v>
      </c>
      <c r="D14" s="4">
        <v>10</v>
      </c>
      <c r="E14" s="2">
        <f t="shared" si="0"/>
        <v>0.12307692307692308</v>
      </c>
      <c r="F14" s="2">
        <f t="shared" si="2"/>
        <v>7.7331511472979522E-2</v>
      </c>
      <c r="G14" s="2">
        <f t="shared" si="1"/>
        <v>0.77331511472979519</v>
      </c>
      <c r="H14" s="3">
        <v>81.25</v>
      </c>
    </row>
    <row r="15" spans="1:23" x14ac:dyDescent="0.35">
      <c r="A15" s="2" t="s">
        <v>7</v>
      </c>
      <c r="B15" s="4">
        <v>5</v>
      </c>
      <c r="C15" s="6" t="s">
        <v>22</v>
      </c>
      <c r="D15" s="4">
        <v>8</v>
      </c>
      <c r="E15" s="2">
        <f t="shared" si="0"/>
        <v>9.8461538461538461E-2</v>
      </c>
      <c r="F15" s="2">
        <f t="shared" si="2"/>
        <v>7.7331511472979522E-2</v>
      </c>
      <c r="G15" s="2">
        <f t="shared" si="1"/>
        <v>0.61865209178383618</v>
      </c>
      <c r="H15" s="3">
        <v>81.25</v>
      </c>
    </row>
    <row r="16" spans="1:23" x14ac:dyDescent="0.35">
      <c r="A16" s="2" t="s">
        <v>7</v>
      </c>
      <c r="B16" s="4">
        <v>6</v>
      </c>
      <c r="C16" s="6" t="s">
        <v>22</v>
      </c>
      <c r="D16" s="4">
        <v>18</v>
      </c>
      <c r="E16" s="2">
        <f t="shared" si="0"/>
        <v>0.22153846153846155</v>
      </c>
      <c r="F16" s="2">
        <f t="shared" si="2"/>
        <v>7.7331511472979522E-2</v>
      </c>
      <c r="G16" s="2">
        <f t="shared" si="1"/>
        <v>1.3919672065136315</v>
      </c>
      <c r="H16" s="3">
        <v>81.25</v>
      </c>
    </row>
    <row r="17" spans="1:22" x14ac:dyDescent="0.35">
      <c r="A17" s="2" t="s">
        <v>7</v>
      </c>
      <c r="B17" s="4">
        <v>7</v>
      </c>
      <c r="C17" s="6" t="s">
        <v>22</v>
      </c>
      <c r="D17" s="4">
        <v>10</v>
      </c>
      <c r="E17" s="2">
        <f t="shared" si="0"/>
        <v>0.12307692307692308</v>
      </c>
      <c r="F17" s="2">
        <f t="shared" si="2"/>
        <v>7.7331511472979522E-2</v>
      </c>
      <c r="G17" s="2">
        <f t="shared" si="1"/>
        <v>0.77331511472979519</v>
      </c>
      <c r="H17" s="3">
        <v>81.25</v>
      </c>
    </row>
    <row r="18" spans="1:22" x14ac:dyDescent="0.35">
      <c r="A18" s="2" t="s">
        <v>8</v>
      </c>
      <c r="B18" s="4">
        <v>1</v>
      </c>
      <c r="C18" s="6" t="s">
        <v>20</v>
      </c>
      <c r="D18" s="4">
        <v>15</v>
      </c>
      <c r="E18" s="2">
        <f t="shared" si="0"/>
        <v>0.1875</v>
      </c>
      <c r="F18" s="2">
        <f t="shared" si="2"/>
        <v>7.8539816339744828E-2</v>
      </c>
      <c r="G18" s="2">
        <f t="shared" si="1"/>
        <v>1.1780972450961724</v>
      </c>
      <c r="H18" s="3">
        <f>AVERAGE(I18:W18)</f>
        <v>80</v>
      </c>
      <c r="I18" s="4">
        <v>80</v>
      </c>
      <c r="J18" s="4">
        <v>85</v>
      </c>
      <c r="K18" s="4">
        <v>75</v>
      </c>
    </row>
    <row r="19" spans="1:22" x14ac:dyDescent="0.35">
      <c r="A19" s="2" t="s">
        <v>8</v>
      </c>
      <c r="B19" s="4">
        <v>2</v>
      </c>
      <c r="C19" s="6" t="s">
        <v>20</v>
      </c>
      <c r="D19" s="4">
        <v>16</v>
      </c>
      <c r="E19" s="2">
        <f t="shared" si="0"/>
        <v>0.2</v>
      </c>
      <c r="F19" s="2">
        <f t="shared" si="2"/>
        <v>7.8539816339744828E-2</v>
      </c>
      <c r="G19" s="2">
        <f t="shared" si="1"/>
        <v>1.2566370614359172</v>
      </c>
      <c r="H19" s="3">
        <v>80</v>
      </c>
    </row>
    <row r="20" spans="1:22" x14ac:dyDescent="0.35">
      <c r="A20" s="2" t="s">
        <v>8</v>
      </c>
      <c r="B20" s="4">
        <v>3</v>
      </c>
      <c r="C20" s="6" t="s">
        <v>20</v>
      </c>
      <c r="D20" s="4">
        <v>14</v>
      </c>
      <c r="E20" s="2">
        <f t="shared" si="0"/>
        <v>0.17499999999999999</v>
      </c>
      <c r="F20" s="2">
        <f t="shared" si="2"/>
        <v>7.8539816339744828E-2</v>
      </c>
      <c r="G20" s="2">
        <f t="shared" si="1"/>
        <v>1.0995574287564276</v>
      </c>
      <c r="H20" s="3">
        <v>80</v>
      </c>
    </row>
    <row r="21" spans="1:22" x14ac:dyDescent="0.35">
      <c r="A21" s="2" t="s">
        <v>8</v>
      </c>
      <c r="B21" s="4">
        <v>4</v>
      </c>
      <c r="C21" s="6" t="s">
        <v>20</v>
      </c>
      <c r="D21" s="4">
        <v>15</v>
      </c>
      <c r="E21" s="2">
        <f t="shared" si="0"/>
        <v>0.1875</v>
      </c>
      <c r="F21" s="2">
        <f t="shared" si="2"/>
        <v>7.8539816339744828E-2</v>
      </c>
      <c r="G21" s="2">
        <f t="shared" si="1"/>
        <v>1.1780972450961724</v>
      </c>
      <c r="H21" s="3">
        <v>80</v>
      </c>
    </row>
    <row r="22" spans="1:22" x14ac:dyDescent="0.35">
      <c r="A22" s="2" t="s">
        <v>8</v>
      </c>
      <c r="B22" s="4">
        <v>5</v>
      </c>
      <c r="C22" s="6" t="s">
        <v>20</v>
      </c>
      <c r="D22" s="4">
        <v>15</v>
      </c>
      <c r="E22" s="2">
        <f t="shared" si="0"/>
        <v>0.1875</v>
      </c>
      <c r="F22" s="2">
        <f t="shared" si="2"/>
        <v>7.8539816339744828E-2</v>
      </c>
      <c r="G22" s="2">
        <f t="shared" si="1"/>
        <v>1.1780972450961724</v>
      </c>
      <c r="H22" s="3">
        <v>80</v>
      </c>
    </row>
    <row r="23" spans="1:22" x14ac:dyDescent="0.35">
      <c r="A23" s="2" t="s">
        <v>8</v>
      </c>
      <c r="B23" s="4">
        <v>6</v>
      </c>
      <c r="C23" s="6" t="s">
        <v>20</v>
      </c>
      <c r="D23" s="4">
        <v>57</v>
      </c>
      <c r="E23" s="2">
        <f t="shared" si="0"/>
        <v>0.71250000000000002</v>
      </c>
      <c r="F23" s="2">
        <f t="shared" si="2"/>
        <v>7.8539816339744828E-2</v>
      </c>
      <c r="G23" s="2">
        <f t="shared" si="1"/>
        <v>4.4767695313654556</v>
      </c>
      <c r="H23" s="3">
        <v>80</v>
      </c>
    </row>
    <row r="24" spans="1:22" x14ac:dyDescent="0.35">
      <c r="A24" s="2" t="s">
        <v>9</v>
      </c>
      <c r="B24" s="4">
        <v>1</v>
      </c>
      <c r="C24" s="6" t="s">
        <v>22</v>
      </c>
      <c r="D24" s="4">
        <v>20</v>
      </c>
      <c r="E24" s="2">
        <f t="shared" si="0"/>
        <v>0.22222222222222221</v>
      </c>
      <c r="F24" s="2">
        <f t="shared" si="2"/>
        <v>6.9813170079773182E-2</v>
      </c>
      <c r="G24" s="2">
        <f t="shared" si="1"/>
        <v>1.3962634015954636</v>
      </c>
      <c r="H24" s="3">
        <v>90</v>
      </c>
    </row>
    <row r="25" spans="1:22" x14ac:dyDescent="0.35">
      <c r="A25" s="2" t="s">
        <v>9</v>
      </c>
      <c r="B25" s="4">
        <v>2</v>
      </c>
      <c r="C25" s="6" t="s">
        <v>22</v>
      </c>
      <c r="D25" s="4">
        <v>20</v>
      </c>
      <c r="E25" s="2">
        <f t="shared" si="0"/>
        <v>0.22222222222222221</v>
      </c>
      <c r="F25" s="2">
        <f t="shared" si="2"/>
        <v>6.9813170079773182E-2</v>
      </c>
      <c r="G25" s="2">
        <f t="shared" si="1"/>
        <v>1.3962634015954636</v>
      </c>
      <c r="H25" s="3">
        <v>90</v>
      </c>
    </row>
    <row r="26" spans="1:22" x14ac:dyDescent="0.35">
      <c r="A26" s="2" t="s">
        <v>9</v>
      </c>
      <c r="B26" s="4">
        <v>3</v>
      </c>
      <c r="C26" s="6" t="s">
        <v>22</v>
      </c>
      <c r="D26" s="4">
        <v>21</v>
      </c>
      <c r="E26" s="2">
        <f t="shared" si="0"/>
        <v>0.23333333333333334</v>
      </c>
      <c r="F26" s="2">
        <f t="shared" si="2"/>
        <v>6.9813170079773182E-2</v>
      </c>
      <c r="G26" s="2">
        <f t="shared" si="1"/>
        <v>1.4660765716752369</v>
      </c>
      <c r="H26" s="3">
        <v>90</v>
      </c>
    </row>
    <row r="27" spans="1:22" x14ac:dyDescent="0.35">
      <c r="A27" s="2" t="s">
        <v>9</v>
      </c>
      <c r="B27" s="4">
        <v>4</v>
      </c>
      <c r="C27" s="6" t="s">
        <v>22</v>
      </c>
      <c r="D27" s="4">
        <v>21</v>
      </c>
      <c r="E27" s="2">
        <f t="shared" si="0"/>
        <v>0.23333333333333334</v>
      </c>
      <c r="F27" s="2">
        <f t="shared" si="2"/>
        <v>6.9813170079773182E-2</v>
      </c>
      <c r="G27" s="2">
        <f t="shared" si="1"/>
        <v>1.4660765716752369</v>
      </c>
      <c r="H27" s="3">
        <v>90</v>
      </c>
    </row>
    <row r="28" spans="1:22" x14ac:dyDescent="0.35">
      <c r="A28" s="2" t="s">
        <v>10</v>
      </c>
      <c r="B28" s="4">
        <v>1</v>
      </c>
      <c r="C28" s="6" t="s">
        <v>22</v>
      </c>
      <c r="D28" s="4">
        <v>24</v>
      </c>
      <c r="E28" s="2">
        <f t="shared" si="0"/>
        <v>0.2608695652173913</v>
      </c>
      <c r="F28" s="2">
        <f t="shared" si="2"/>
        <v>6.8295492469343327E-2</v>
      </c>
      <c r="G28" s="2">
        <f t="shared" si="1"/>
        <v>1.6390918192642399</v>
      </c>
      <c r="H28" s="3">
        <v>92</v>
      </c>
    </row>
    <row r="29" spans="1:22" x14ac:dyDescent="0.35">
      <c r="A29" s="2" t="s">
        <v>10</v>
      </c>
      <c r="B29" s="4">
        <v>2</v>
      </c>
      <c r="C29" s="6" t="s">
        <v>22</v>
      </c>
      <c r="D29" s="4">
        <v>27</v>
      </c>
      <c r="E29" s="2">
        <f t="shared" si="0"/>
        <v>0.29347826086956524</v>
      </c>
      <c r="F29" s="2">
        <f t="shared" si="2"/>
        <v>6.8295492469343327E-2</v>
      </c>
      <c r="G29" s="2">
        <f t="shared" si="1"/>
        <v>1.8439782966722698</v>
      </c>
      <c r="H29" s="3">
        <v>92</v>
      </c>
    </row>
    <row r="30" spans="1:22" x14ac:dyDescent="0.35">
      <c r="A30" s="2" t="s">
        <v>10</v>
      </c>
      <c r="B30" s="4">
        <v>3</v>
      </c>
      <c r="C30" s="6" t="s">
        <v>22</v>
      </c>
      <c r="D30" s="4">
        <v>26</v>
      </c>
      <c r="E30" s="2">
        <f t="shared" si="0"/>
        <v>0.28260869565217389</v>
      </c>
      <c r="F30" s="2">
        <f t="shared" si="2"/>
        <v>6.8295492469343327E-2</v>
      </c>
      <c r="G30" s="2">
        <f t="shared" si="1"/>
        <v>1.7756828042029265</v>
      </c>
      <c r="H30" s="3">
        <v>92</v>
      </c>
    </row>
    <row r="31" spans="1:22" x14ac:dyDescent="0.35">
      <c r="A31" s="2" t="s">
        <v>10</v>
      </c>
      <c r="B31" s="4">
        <v>4</v>
      </c>
      <c r="C31" s="6" t="s">
        <v>22</v>
      </c>
      <c r="D31" s="4">
        <v>26</v>
      </c>
      <c r="E31" s="2">
        <f t="shared" si="0"/>
        <v>0.28260869565217389</v>
      </c>
      <c r="F31" s="2">
        <f t="shared" si="2"/>
        <v>6.8295492469343327E-2</v>
      </c>
      <c r="G31" s="2">
        <f t="shared" si="1"/>
        <v>1.7756828042029265</v>
      </c>
      <c r="H31" s="3">
        <v>92</v>
      </c>
    </row>
    <row r="32" spans="1:22" x14ac:dyDescent="0.35">
      <c r="A32" s="2" t="s">
        <v>11</v>
      </c>
      <c r="B32" s="4">
        <v>1</v>
      </c>
      <c r="C32" s="6" t="s">
        <v>23</v>
      </c>
      <c r="D32" s="4">
        <v>30</v>
      </c>
      <c r="E32" s="2">
        <f t="shared" si="0"/>
        <v>0.34482758620689657</v>
      </c>
      <c r="F32" s="2">
        <f t="shared" si="2"/>
        <v>7.222052077217915E-2</v>
      </c>
      <c r="G32" s="2">
        <f t="shared" si="1"/>
        <v>2.1666156231653746</v>
      </c>
      <c r="H32" s="3">
        <f>AVERAGE(I32:V32)</f>
        <v>87</v>
      </c>
      <c r="I32" s="4">
        <v>82</v>
      </c>
      <c r="J32" s="4">
        <v>78</v>
      </c>
      <c r="K32" s="4">
        <v>82</v>
      </c>
      <c r="L32" s="4">
        <v>85</v>
      </c>
      <c r="M32" s="4">
        <v>87</v>
      </c>
      <c r="N32" s="4">
        <v>87</v>
      </c>
      <c r="O32" s="4">
        <v>85</v>
      </c>
      <c r="P32" s="4">
        <v>89</v>
      </c>
      <c r="Q32" s="4">
        <v>92</v>
      </c>
      <c r="R32" s="4">
        <v>93</v>
      </c>
      <c r="S32" s="4">
        <v>100</v>
      </c>
      <c r="T32" s="4">
        <v>87</v>
      </c>
      <c r="U32" s="4">
        <v>91</v>
      </c>
      <c r="V32">
        <v>80</v>
      </c>
    </row>
    <row r="33" spans="1:24" x14ac:dyDescent="0.35">
      <c r="A33" s="2" t="s">
        <v>12</v>
      </c>
      <c r="B33" s="4">
        <v>1</v>
      </c>
      <c r="C33" s="6" t="s">
        <v>24</v>
      </c>
      <c r="D33" s="4">
        <v>40</v>
      </c>
      <c r="E33" s="2">
        <f t="shared" si="0"/>
        <v>0.50862851952770216</v>
      </c>
      <c r="F33" s="2">
        <f t="shared" si="2"/>
        <v>7.9895181017724082E-2</v>
      </c>
      <c r="G33" s="2">
        <f t="shared" si="1"/>
        <v>3.1958072407089633</v>
      </c>
      <c r="H33" s="3">
        <f>AVERAGE(I33:V33)</f>
        <v>78.642857142857139</v>
      </c>
      <c r="I33" s="4">
        <v>75</v>
      </c>
      <c r="J33" s="4">
        <v>75</v>
      </c>
      <c r="K33" s="4">
        <v>75</v>
      </c>
      <c r="L33" s="4">
        <v>75</v>
      </c>
      <c r="M33" s="4">
        <v>80</v>
      </c>
      <c r="N33" s="4">
        <v>78</v>
      </c>
      <c r="O33" s="4">
        <v>78</v>
      </c>
      <c r="P33" s="4">
        <v>76</v>
      </c>
      <c r="Q33" s="4">
        <v>80</v>
      </c>
      <c r="R33" s="4">
        <v>80</v>
      </c>
      <c r="S33" s="4">
        <v>83</v>
      </c>
      <c r="T33" s="4">
        <v>83</v>
      </c>
      <c r="U33" s="4">
        <v>80</v>
      </c>
      <c r="V33" s="4">
        <v>83</v>
      </c>
      <c r="W33" s="4">
        <v>80</v>
      </c>
      <c r="X33" s="4">
        <v>85</v>
      </c>
    </row>
    <row r="34" spans="1:24" x14ac:dyDescent="0.35">
      <c r="A34" s="2" t="s">
        <v>12</v>
      </c>
      <c r="B34" s="4">
        <v>2</v>
      </c>
      <c r="C34" s="6" t="s">
        <v>24</v>
      </c>
      <c r="D34" s="4">
        <v>30</v>
      </c>
      <c r="E34" s="2">
        <f t="shared" ref="E34:E65" si="3">D34/H34</f>
        <v>0.38147138964577659</v>
      </c>
      <c r="F34" s="2">
        <f t="shared" si="2"/>
        <v>7.9895181017724082E-2</v>
      </c>
      <c r="G34" s="2">
        <f t="shared" ref="G34:G65" si="4">F34*D34</f>
        <v>2.3968554305317227</v>
      </c>
      <c r="H34" s="3">
        <v>78.642857142857139</v>
      </c>
    </row>
    <row r="35" spans="1:24" x14ac:dyDescent="0.35">
      <c r="A35" s="2" t="s">
        <v>12</v>
      </c>
      <c r="B35" s="4">
        <v>3</v>
      </c>
      <c r="C35" s="6" t="s">
        <v>24</v>
      </c>
      <c r="D35" s="4">
        <v>40</v>
      </c>
      <c r="E35" s="2">
        <f t="shared" si="3"/>
        <v>0.50862851952770216</v>
      </c>
      <c r="F35" s="2">
        <f t="shared" si="2"/>
        <v>7.9895181017724082E-2</v>
      </c>
      <c r="G35" s="2">
        <f t="shared" si="4"/>
        <v>3.1958072407089633</v>
      </c>
      <c r="H35" s="3">
        <v>78.642857142857139</v>
      </c>
    </row>
    <row r="36" spans="1:24" x14ac:dyDescent="0.35">
      <c r="A36" s="2" t="s">
        <v>13</v>
      </c>
      <c r="B36" s="4">
        <v>1</v>
      </c>
      <c r="C36" s="6" t="s">
        <v>25</v>
      </c>
      <c r="D36" s="4">
        <v>60</v>
      </c>
      <c r="E36" s="2">
        <f t="shared" si="3"/>
        <v>0.70450097847358117</v>
      </c>
      <c r="F36" s="2">
        <f t="shared" si="2"/>
        <v>7.3775169947314118E-2</v>
      </c>
      <c r="G36" s="2">
        <f t="shared" si="4"/>
        <v>4.4265101968388469</v>
      </c>
      <c r="H36" s="3">
        <f>AVERAGE(I36:T37)</f>
        <v>85.166666666666671</v>
      </c>
      <c r="I36" s="4">
        <v>78</v>
      </c>
      <c r="J36" s="4">
        <v>83</v>
      </c>
      <c r="K36" s="4">
        <v>78</v>
      </c>
      <c r="L36" s="4">
        <v>83</v>
      </c>
      <c r="M36" s="4">
        <v>85</v>
      </c>
      <c r="N36" s="4">
        <v>85</v>
      </c>
      <c r="O36" s="4">
        <v>87</v>
      </c>
      <c r="P36" s="4">
        <v>87</v>
      </c>
      <c r="Q36" s="4">
        <v>87</v>
      </c>
      <c r="R36" s="4">
        <v>87</v>
      </c>
      <c r="S36" s="4">
        <v>87</v>
      </c>
      <c r="T36" s="4">
        <v>95</v>
      </c>
    </row>
    <row r="37" spans="1:24" x14ac:dyDescent="0.35">
      <c r="A37" s="2" t="s">
        <v>13</v>
      </c>
      <c r="B37" s="4">
        <v>2</v>
      </c>
      <c r="C37" s="6" t="s">
        <v>25</v>
      </c>
      <c r="D37" s="4">
        <v>50</v>
      </c>
      <c r="E37" s="2">
        <f t="shared" si="3"/>
        <v>0.58708414872798431</v>
      </c>
      <c r="F37" s="2">
        <f t="shared" si="2"/>
        <v>7.3775169947314118E-2</v>
      </c>
      <c r="G37" s="2">
        <f t="shared" si="4"/>
        <v>3.6887584973657059</v>
      </c>
      <c r="H37" s="3">
        <v>85.166666666666671</v>
      </c>
    </row>
    <row r="38" spans="1:24" x14ac:dyDescent="0.35">
      <c r="A38" s="2" t="s">
        <v>13</v>
      </c>
      <c r="B38" s="4">
        <v>3</v>
      </c>
      <c r="C38" s="6" t="s">
        <v>25</v>
      </c>
      <c r="D38" s="4">
        <v>52</v>
      </c>
      <c r="E38" s="2">
        <f t="shared" si="3"/>
        <v>0.61056751467710368</v>
      </c>
      <c r="F38" s="2">
        <f t="shared" si="2"/>
        <v>7.3775169947314118E-2</v>
      </c>
      <c r="G38" s="2">
        <f t="shared" si="4"/>
        <v>3.8363088372603342</v>
      </c>
      <c r="H38" s="3">
        <v>85.166666666666671</v>
      </c>
    </row>
    <row r="39" spans="1:24" x14ac:dyDescent="0.35">
      <c r="A39" s="2" t="s">
        <v>14</v>
      </c>
      <c r="B39" s="4">
        <v>1</v>
      </c>
      <c r="C39" s="6" t="s">
        <v>20</v>
      </c>
      <c r="D39" s="4">
        <v>60</v>
      </c>
      <c r="E39" s="2">
        <f t="shared" si="3"/>
        <v>0.70450097847358117</v>
      </c>
      <c r="F39" s="2">
        <f t="shared" si="2"/>
        <v>7.3775169947314118E-2</v>
      </c>
      <c r="G39" s="2">
        <f t="shared" si="4"/>
        <v>4.4265101968388469</v>
      </c>
      <c r="H39" s="3">
        <v>85.166666666666671</v>
      </c>
    </row>
    <row r="40" spans="1:24" x14ac:dyDescent="0.35">
      <c r="A40" s="2" t="s">
        <v>14</v>
      </c>
      <c r="B40" s="4">
        <v>2</v>
      </c>
      <c r="C40" s="6" t="s">
        <v>20</v>
      </c>
      <c r="D40" s="4">
        <v>57</v>
      </c>
      <c r="E40" s="2">
        <f t="shared" si="3"/>
        <v>0.66927592954990212</v>
      </c>
      <c r="F40" s="2">
        <f t="shared" si="2"/>
        <v>7.3775169947314118E-2</v>
      </c>
      <c r="G40" s="2">
        <f t="shared" si="4"/>
        <v>4.2051846869969047</v>
      </c>
      <c r="H40" s="3">
        <v>85.166666666666671</v>
      </c>
    </row>
    <row r="41" spans="1:24" x14ac:dyDescent="0.35">
      <c r="A41" s="2" t="s">
        <v>14</v>
      </c>
      <c r="B41" s="4">
        <v>3</v>
      </c>
      <c r="C41" s="6" t="s">
        <v>20</v>
      </c>
      <c r="D41" s="4">
        <v>60</v>
      </c>
      <c r="E41" s="2">
        <f t="shared" si="3"/>
        <v>0.70450097847358095</v>
      </c>
      <c r="F41" s="2">
        <f t="shared" si="2"/>
        <v>7.377516994731409E-2</v>
      </c>
      <c r="G41" s="2">
        <f t="shared" si="4"/>
        <v>4.4265101968388452</v>
      </c>
      <c r="H41" s="3">
        <v>85.1666666666667</v>
      </c>
    </row>
    <row r="42" spans="1:24" x14ac:dyDescent="0.35">
      <c r="A42" s="2" t="s">
        <v>15</v>
      </c>
      <c r="B42" s="4">
        <v>1</v>
      </c>
      <c r="C42" s="6" t="s">
        <v>26</v>
      </c>
      <c r="D42" s="4">
        <v>40</v>
      </c>
      <c r="E42" s="2">
        <f t="shared" si="3"/>
        <v>0.47114252061248524</v>
      </c>
      <c r="F42" s="2">
        <f t="shared" si="2"/>
        <v>7.4006894077498067E-2</v>
      </c>
      <c r="G42" s="2">
        <f t="shared" si="4"/>
        <v>2.9602757630999226</v>
      </c>
      <c r="H42" s="3">
        <f>AVERAGE(I41:R42)</f>
        <v>84.9</v>
      </c>
      <c r="I42" s="4">
        <v>90</v>
      </c>
      <c r="J42" s="4">
        <v>87</v>
      </c>
      <c r="K42" s="4">
        <v>90</v>
      </c>
      <c r="L42" s="4">
        <v>80</v>
      </c>
      <c r="M42" s="4">
        <v>80</v>
      </c>
      <c r="N42" s="4">
        <v>85</v>
      </c>
      <c r="O42" s="4">
        <v>85</v>
      </c>
      <c r="P42" s="4">
        <v>85</v>
      </c>
      <c r="Q42" s="4">
        <v>80</v>
      </c>
      <c r="R42" s="4">
        <v>87</v>
      </c>
    </row>
    <row r="43" spans="1:24" x14ac:dyDescent="0.35">
      <c r="A43" s="2" t="s">
        <v>15</v>
      </c>
      <c r="B43" s="4">
        <v>2</v>
      </c>
      <c r="C43" s="6" t="s">
        <v>26</v>
      </c>
      <c r="D43" s="4">
        <v>70</v>
      </c>
      <c r="E43" s="2">
        <f t="shared" si="3"/>
        <v>0.82449941107184921</v>
      </c>
      <c r="F43" s="2">
        <f t="shared" si="2"/>
        <v>7.4006894077498067E-2</v>
      </c>
      <c r="G43" s="2">
        <f t="shared" si="4"/>
        <v>5.1804825854248646</v>
      </c>
      <c r="H43" s="3">
        <v>84.9</v>
      </c>
    </row>
    <row r="44" spans="1:24" x14ac:dyDescent="0.35">
      <c r="A44" s="2" t="s">
        <v>16</v>
      </c>
      <c r="B44" s="4">
        <v>1</v>
      </c>
      <c r="C44" s="6" t="s">
        <v>23</v>
      </c>
      <c r="D44" s="4">
        <v>1</v>
      </c>
      <c r="E44" s="2">
        <f t="shared" si="3"/>
        <v>1.1688311688311689E-2</v>
      </c>
      <c r="F44" s="2">
        <f t="shared" si="2"/>
        <v>7.3439828265735418E-2</v>
      </c>
      <c r="G44" s="2">
        <f t="shared" si="4"/>
        <v>7.3439828265735418E-2</v>
      </c>
      <c r="H44" s="3">
        <f>AVERAGE(I44:Q44)</f>
        <v>85.555555555555557</v>
      </c>
      <c r="I44" s="4">
        <v>85</v>
      </c>
      <c r="J44" s="4">
        <v>85</v>
      </c>
      <c r="K44" s="4">
        <v>80</v>
      </c>
      <c r="L44" s="4">
        <v>85</v>
      </c>
      <c r="M44" s="4">
        <v>87</v>
      </c>
      <c r="N44" s="4">
        <v>87</v>
      </c>
      <c r="O44" s="4">
        <v>87</v>
      </c>
      <c r="P44" s="4">
        <v>87</v>
      </c>
      <c r="Q44" s="4">
        <v>87</v>
      </c>
    </row>
    <row r="45" spans="1:24" x14ac:dyDescent="0.35">
      <c r="A45" s="2" t="s">
        <v>16</v>
      </c>
      <c r="B45" s="4">
        <v>2</v>
      </c>
      <c r="C45" s="6" t="s">
        <v>23</v>
      </c>
      <c r="D45" s="4">
        <v>2</v>
      </c>
      <c r="E45" s="2">
        <f t="shared" si="3"/>
        <v>2.3376623376623377E-2</v>
      </c>
      <c r="F45" s="2">
        <f t="shared" si="2"/>
        <v>7.3439828265735418E-2</v>
      </c>
      <c r="G45" s="2">
        <f t="shared" si="4"/>
        <v>0.14687965653147084</v>
      </c>
      <c r="H45" s="3">
        <v>85.555555555555557</v>
      </c>
    </row>
    <row r="46" spans="1:24" x14ac:dyDescent="0.35">
      <c r="A46" s="2" t="s">
        <v>16</v>
      </c>
      <c r="B46" s="4">
        <v>3</v>
      </c>
      <c r="C46" s="6" t="s">
        <v>23</v>
      </c>
      <c r="D46" s="4">
        <v>3</v>
      </c>
      <c r="E46" s="2">
        <f t="shared" si="3"/>
        <v>3.5064935064935063E-2</v>
      </c>
      <c r="F46" s="2">
        <f t="shared" si="2"/>
        <v>7.3439828265735418E-2</v>
      </c>
      <c r="G46" s="2">
        <f t="shared" si="4"/>
        <v>0.22031948479720626</v>
      </c>
      <c r="H46" s="3">
        <v>85.555555555555557</v>
      </c>
    </row>
    <row r="47" spans="1:24" x14ac:dyDescent="0.35">
      <c r="A47" s="2" t="s">
        <v>16</v>
      </c>
      <c r="B47" s="4">
        <v>4</v>
      </c>
      <c r="C47" s="6" t="s">
        <v>23</v>
      </c>
      <c r="D47" s="4">
        <v>4</v>
      </c>
      <c r="E47" s="2">
        <f t="shared" si="3"/>
        <v>4.6753246753246755E-2</v>
      </c>
      <c r="F47" s="2">
        <f t="shared" si="2"/>
        <v>7.3439828265735418E-2</v>
      </c>
      <c r="G47" s="2">
        <f t="shared" si="4"/>
        <v>0.29375931306294167</v>
      </c>
      <c r="H47" s="3">
        <v>85.555555555555557</v>
      </c>
    </row>
    <row r="48" spans="1:24" x14ac:dyDescent="0.35">
      <c r="A48" s="2" t="s">
        <v>16</v>
      </c>
      <c r="B48" s="4">
        <v>5</v>
      </c>
      <c r="C48" s="6" t="s">
        <v>23</v>
      </c>
      <c r="D48" s="4">
        <v>5</v>
      </c>
      <c r="E48" s="2">
        <f t="shared" si="3"/>
        <v>5.844155844155844E-2</v>
      </c>
      <c r="F48" s="2">
        <f t="shared" si="2"/>
        <v>7.3439828265735418E-2</v>
      </c>
      <c r="G48" s="2">
        <f t="shared" si="4"/>
        <v>0.36719914132867709</v>
      </c>
      <c r="H48" s="3">
        <v>85.555555555555557</v>
      </c>
    </row>
    <row r="49" spans="1:11" x14ac:dyDescent="0.35">
      <c r="A49" s="2" t="s">
        <v>16</v>
      </c>
      <c r="B49" s="4">
        <v>6</v>
      </c>
      <c r="C49" s="6" t="s">
        <v>23</v>
      </c>
      <c r="D49" s="4">
        <v>7</v>
      </c>
      <c r="E49" s="2">
        <f t="shared" si="3"/>
        <v>8.1818181818181818E-2</v>
      </c>
      <c r="F49" s="2">
        <f t="shared" si="2"/>
        <v>7.3439828265735418E-2</v>
      </c>
      <c r="G49" s="2">
        <f t="shared" si="4"/>
        <v>0.51407879786014798</v>
      </c>
      <c r="H49" s="3">
        <v>85.555555555555557</v>
      </c>
    </row>
    <row r="50" spans="1:11" x14ac:dyDescent="0.35">
      <c r="A50" s="2" t="s">
        <v>16</v>
      </c>
      <c r="B50" s="4">
        <v>7</v>
      </c>
      <c r="C50" s="6" t="s">
        <v>23</v>
      </c>
      <c r="D50" s="4">
        <v>7</v>
      </c>
      <c r="E50" s="2">
        <f t="shared" si="3"/>
        <v>8.1818181818181818E-2</v>
      </c>
      <c r="F50" s="2">
        <f t="shared" si="2"/>
        <v>7.3439828265735418E-2</v>
      </c>
      <c r="G50" s="2">
        <f t="shared" si="4"/>
        <v>0.51407879786014798</v>
      </c>
      <c r="H50" s="3">
        <v>85.555555555555557</v>
      </c>
    </row>
    <row r="51" spans="1:11" x14ac:dyDescent="0.35">
      <c r="A51" s="2" t="s">
        <v>16</v>
      </c>
      <c r="B51" s="4">
        <v>8</v>
      </c>
      <c r="C51" s="6" t="s">
        <v>23</v>
      </c>
      <c r="D51" s="4">
        <v>8</v>
      </c>
      <c r="E51" s="2">
        <f t="shared" si="3"/>
        <v>9.350649350649351E-2</v>
      </c>
      <c r="F51" s="2">
        <f t="shared" si="2"/>
        <v>7.3439828265735418E-2</v>
      </c>
      <c r="G51" s="2">
        <f t="shared" si="4"/>
        <v>0.58751862612588335</v>
      </c>
      <c r="H51" s="3">
        <v>85.555555555555557</v>
      </c>
    </row>
    <row r="52" spans="1:11" x14ac:dyDescent="0.35">
      <c r="A52" s="1" t="s">
        <v>29</v>
      </c>
      <c r="B52" s="4">
        <v>1</v>
      </c>
      <c r="C52" s="7">
        <v>32</v>
      </c>
      <c r="D52" s="4">
        <v>29</v>
      </c>
      <c r="E52" s="2">
        <f t="shared" si="3"/>
        <v>0.3411764705882353</v>
      </c>
      <c r="F52" s="2">
        <f t="shared" si="2"/>
        <v>7.3919827143289249E-2</v>
      </c>
      <c r="G52" s="2">
        <f t="shared" si="4"/>
        <v>2.1436749871553884</v>
      </c>
      <c r="H52" s="4">
        <f>AVERAGE(I52:Q52)</f>
        <v>85</v>
      </c>
      <c r="I52" s="4">
        <f>14+60+11</f>
        <v>85</v>
      </c>
    </row>
    <row r="53" spans="1:11" x14ac:dyDescent="0.35">
      <c r="A53" s="1" t="s">
        <v>29</v>
      </c>
      <c r="B53" s="4">
        <v>2</v>
      </c>
      <c r="C53" s="7">
        <v>32</v>
      </c>
      <c r="D53" s="4">
        <v>30</v>
      </c>
      <c r="E53" s="2">
        <f t="shared" si="3"/>
        <v>0.35294117647058826</v>
      </c>
      <c r="F53" s="2">
        <f t="shared" si="2"/>
        <v>7.3919827143289249E-2</v>
      </c>
      <c r="G53" s="2">
        <f t="shared" si="4"/>
        <v>2.2175948142986774</v>
      </c>
      <c r="H53">
        <v>85</v>
      </c>
    </row>
    <row r="54" spans="1:11" x14ac:dyDescent="0.35">
      <c r="A54" s="1" t="s">
        <v>29</v>
      </c>
      <c r="B54" s="4">
        <v>3</v>
      </c>
      <c r="C54" s="7">
        <v>32</v>
      </c>
      <c r="D54" s="4">
        <v>35</v>
      </c>
      <c r="E54" s="2">
        <f t="shared" si="3"/>
        <v>0.41176470588235292</v>
      </c>
      <c r="F54" s="2">
        <f t="shared" si="2"/>
        <v>7.3919827143289249E-2</v>
      </c>
      <c r="G54" s="2">
        <f t="shared" si="4"/>
        <v>2.5871939500151235</v>
      </c>
      <c r="H54">
        <v>85</v>
      </c>
    </row>
    <row r="55" spans="1:11" x14ac:dyDescent="0.35">
      <c r="A55" s="1" t="s">
        <v>29</v>
      </c>
      <c r="B55" s="4">
        <v>4</v>
      </c>
      <c r="C55" s="7">
        <v>32</v>
      </c>
      <c r="D55" s="4">
        <v>35</v>
      </c>
      <c r="E55" s="2">
        <f t="shared" si="3"/>
        <v>0.41176470588235292</v>
      </c>
      <c r="F55" s="2">
        <f t="shared" si="2"/>
        <v>7.3919827143289249E-2</v>
      </c>
      <c r="G55" s="2">
        <f t="shared" si="4"/>
        <v>2.5871939500151235</v>
      </c>
      <c r="H55">
        <v>85</v>
      </c>
    </row>
    <row r="56" spans="1:11" ht="13.5" customHeight="1" x14ac:dyDescent="0.35">
      <c r="A56" s="1" t="s">
        <v>30</v>
      </c>
      <c r="B56" s="4">
        <v>1</v>
      </c>
      <c r="C56" s="7">
        <v>28</v>
      </c>
      <c r="D56" s="4">
        <v>40</v>
      </c>
      <c r="E56" s="2">
        <f t="shared" si="3"/>
        <v>0.53333333333333333</v>
      </c>
      <c r="F56" s="2">
        <f t="shared" si="2"/>
        <v>8.377580409572781E-2</v>
      </c>
      <c r="G56" s="2">
        <f t="shared" si="4"/>
        <v>3.3510321638291125</v>
      </c>
      <c r="H56" s="4">
        <f>AVERAGE(I56:Q56)</f>
        <v>75</v>
      </c>
      <c r="I56" s="4">
        <f>60-11+25</f>
        <v>74</v>
      </c>
      <c r="J56" s="4">
        <f>60-25+41</f>
        <v>76</v>
      </c>
    </row>
    <row r="57" spans="1:11" x14ac:dyDescent="0.35">
      <c r="A57" s="1" t="s">
        <v>30</v>
      </c>
      <c r="B57" s="4">
        <v>2</v>
      </c>
      <c r="C57" s="7">
        <v>28</v>
      </c>
      <c r="D57" s="4">
        <v>45</v>
      </c>
      <c r="E57" s="2">
        <f t="shared" si="3"/>
        <v>0.6</v>
      </c>
      <c r="F57" s="2">
        <f t="shared" si="2"/>
        <v>8.377580409572781E-2</v>
      </c>
      <c r="G57" s="2">
        <f t="shared" si="4"/>
        <v>3.7699111843077513</v>
      </c>
      <c r="H57">
        <v>75</v>
      </c>
    </row>
    <row r="58" spans="1:11" x14ac:dyDescent="0.35">
      <c r="A58" s="1" t="s">
        <v>31</v>
      </c>
      <c r="B58" s="4">
        <v>1</v>
      </c>
      <c r="C58" s="7">
        <v>30</v>
      </c>
      <c r="D58" s="4">
        <v>35</v>
      </c>
      <c r="E58" s="2">
        <f t="shared" si="3"/>
        <v>0.44680851063829791</v>
      </c>
      <c r="F58" s="2">
        <f t="shared" si="2"/>
        <v>8.0210876261867056E-2</v>
      </c>
      <c r="G58" s="2">
        <f t="shared" si="4"/>
        <v>2.8073806691653469</v>
      </c>
      <c r="H58" s="4">
        <f>AVERAGE(I58:Q58)</f>
        <v>78.333333333333329</v>
      </c>
      <c r="I58" s="4">
        <f>60-43+60+4</f>
        <v>81</v>
      </c>
      <c r="J58" s="4">
        <f>60-4+22</f>
        <v>78</v>
      </c>
      <c r="K58" s="4">
        <f>60-22+38</f>
        <v>76</v>
      </c>
    </row>
    <row r="59" spans="1:11" x14ac:dyDescent="0.35">
      <c r="A59" s="1" t="s">
        <v>31</v>
      </c>
      <c r="B59" s="4">
        <v>2</v>
      </c>
      <c r="C59" s="7">
        <v>30</v>
      </c>
      <c r="D59" s="4">
        <v>47</v>
      </c>
      <c r="E59" s="2">
        <f t="shared" si="3"/>
        <v>0.60256410256410253</v>
      </c>
      <c r="F59" s="2">
        <f t="shared" si="2"/>
        <v>8.0553657784353666E-2</v>
      </c>
      <c r="G59" s="2">
        <f t="shared" si="4"/>
        <v>3.7860219158646222</v>
      </c>
      <c r="H59">
        <v>78</v>
      </c>
    </row>
    <row r="60" spans="1:11" x14ac:dyDescent="0.35">
      <c r="A60" s="1">
        <v>15</v>
      </c>
      <c r="B60" s="4">
        <v>1</v>
      </c>
      <c r="C60" s="8" t="s">
        <v>20</v>
      </c>
      <c r="D60" s="4">
        <v>1</v>
      </c>
      <c r="E60" s="2">
        <f t="shared" si="3"/>
        <v>1.282051282051282E-2</v>
      </c>
      <c r="F60" s="2">
        <f t="shared" si="2"/>
        <v>8.0553657784353666E-2</v>
      </c>
      <c r="G60" s="2">
        <f t="shared" si="4"/>
        <v>8.0553657784353666E-2</v>
      </c>
      <c r="H60">
        <v>78</v>
      </c>
      <c r="I60" s="4">
        <v>70</v>
      </c>
      <c r="J60" s="4">
        <v>80</v>
      </c>
      <c r="K60" s="4">
        <v>75</v>
      </c>
    </row>
    <row r="61" spans="1:11" x14ac:dyDescent="0.35">
      <c r="A61" s="1">
        <v>15</v>
      </c>
      <c r="B61" s="4">
        <v>2</v>
      </c>
      <c r="C61" s="8" t="s">
        <v>20</v>
      </c>
      <c r="D61" s="4">
        <v>2</v>
      </c>
      <c r="E61" s="2">
        <f t="shared" si="3"/>
        <v>2.564102564102564E-2</v>
      </c>
      <c r="F61" s="2">
        <f t="shared" si="2"/>
        <v>8.0553657784353666E-2</v>
      </c>
      <c r="G61" s="2">
        <f t="shared" si="4"/>
        <v>0.16110731556870733</v>
      </c>
      <c r="H61">
        <v>78</v>
      </c>
    </row>
    <row r="62" spans="1:11" x14ac:dyDescent="0.35">
      <c r="A62" s="1">
        <v>15</v>
      </c>
      <c r="B62" s="4">
        <v>3</v>
      </c>
      <c r="C62" s="8" t="s">
        <v>20</v>
      </c>
      <c r="D62" s="4">
        <v>3</v>
      </c>
      <c r="E62" s="2">
        <f t="shared" si="3"/>
        <v>3.8461538461538464E-2</v>
      </c>
      <c r="F62" s="2">
        <f t="shared" si="2"/>
        <v>8.0553657784353666E-2</v>
      </c>
      <c r="G62" s="2">
        <f t="shared" si="4"/>
        <v>0.241660973353061</v>
      </c>
      <c r="H62">
        <v>78</v>
      </c>
    </row>
    <row r="63" spans="1:11" x14ac:dyDescent="0.35">
      <c r="A63" s="1">
        <v>15</v>
      </c>
      <c r="B63" s="4">
        <v>4</v>
      </c>
      <c r="C63" s="8" t="s">
        <v>20</v>
      </c>
      <c r="D63" s="4">
        <v>4</v>
      </c>
      <c r="E63" s="2">
        <f t="shared" si="3"/>
        <v>5.128205128205128E-2</v>
      </c>
      <c r="F63" s="2">
        <f t="shared" si="2"/>
        <v>8.0553657784353666E-2</v>
      </c>
      <c r="G63" s="2">
        <f t="shared" si="4"/>
        <v>0.32221463113741466</v>
      </c>
      <c r="H63">
        <v>78</v>
      </c>
    </row>
    <row r="64" spans="1:11" x14ac:dyDescent="0.35">
      <c r="A64" s="1">
        <v>15</v>
      </c>
      <c r="B64" s="4">
        <v>5</v>
      </c>
      <c r="C64" s="8" t="s">
        <v>20</v>
      </c>
      <c r="D64" s="4">
        <v>5</v>
      </c>
      <c r="E64" s="2">
        <f t="shared" si="3"/>
        <v>6.4102564102564097E-2</v>
      </c>
      <c r="F64" s="2">
        <f t="shared" si="2"/>
        <v>8.0553657784353666E-2</v>
      </c>
      <c r="G64" s="2">
        <f t="shared" si="4"/>
        <v>0.4027682889217683</v>
      </c>
      <c r="H64">
        <v>78</v>
      </c>
    </row>
    <row r="65" spans="1:19" x14ac:dyDescent="0.35">
      <c r="A65" s="1">
        <v>15</v>
      </c>
      <c r="B65" s="4">
        <v>6</v>
      </c>
      <c r="C65" s="8" t="s">
        <v>20</v>
      </c>
      <c r="D65" s="4">
        <v>6</v>
      </c>
      <c r="E65" s="2">
        <f t="shared" si="3"/>
        <v>7.6923076923076927E-2</v>
      </c>
      <c r="F65" s="2">
        <f t="shared" si="2"/>
        <v>8.0553657784353666E-2</v>
      </c>
      <c r="G65" s="2">
        <f t="shared" si="4"/>
        <v>0.483321946706122</v>
      </c>
      <c r="H65">
        <v>78</v>
      </c>
    </row>
    <row r="66" spans="1:19" x14ac:dyDescent="0.35">
      <c r="A66" s="1">
        <v>15</v>
      </c>
      <c r="B66" s="4">
        <v>7</v>
      </c>
      <c r="C66" s="8" t="s">
        <v>20</v>
      </c>
      <c r="D66" s="4">
        <v>7</v>
      </c>
      <c r="E66" s="2">
        <f t="shared" ref="E66:E84" si="5">D66/H66</f>
        <v>8.9743589743589744E-2</v>
      </c>
      <c r="F66" s="2">
        <f t="shared" si="2"/>
        <v>8.0553657784353666E-2</v>
      </c>
      <c r="G66" s="2">
        <f t="shared" ref="G66:G84" si="6">F66*D66</f>
        <v>0.56387560449047569</v>
      </c>
      <c r="H66">
        <v>78</v>
      </c>
    </row>
    <row r="67" spans="1:19" x14ac:dyDescent="0.35">
      <c r="A67" s="1">
        <v>15</v>
      </c>
      <c r="B67" s="4">
        <v>8</v>
      </c>
      <c r="C67" s="8" t="s">
        <v>20</v>
      </c>
      <c r="D67" s="4">
        <v>8</v>
      </c>
      <c r="E67" s="2">
        <f t="shared" si="5"/>
        <v>0.10256410256410256</v>
      </c>
      <c r="F67" s="2">
        <f t="shared" ref="F67:F84" si="7">2*PI()/H67</f>
        <v>8.0553657784353666E-2</v>
      </c>
      <c r="G67" s="2">
        <f t="shared" si="6"/>
        <v>0.64442926227482933</v>
      </c>
      <c r="H67">
        <v>78</v>
      </c>
    </row>
    <row r="68" spans="1:19" x14ac:dyDescent="0.35">
      <c r="A68" s="1">
        <v>15</v>
      </c>
      <c r="B68" s="4">
        <v>9</v>
      </c>
      <c r="C68" s="8" t="s">
        <v>20</v>
      </c>
      <c r="D68" s="4">
        <v>9</v>
      </c>
      <c r="E68" s="2">
        <f t="shared" si="5"/>
        <v>0.11538461538461539</v>
      </c>
      <c r="F68" s="2">
        <f t="shared" si="7"/>
        <v>8.0553657784353666E-2</v>
      </c>
      <c r="G68" s="2">
        <f t="shared" si="6"/>
        <v>0.72498292005918297</v>
      </c>
      <c r="H68">
        <v>78</v>
      </c>
    </row>
    <row r="69" spans="1:19" x14ac:dyDescent="0.35">
      <c r="A69" s="1">
        <v>15</v>
      </c>
      <c r="B69" s="4">
        <v>10</v>
      </c>
      <c r="C69" s="8" t="s">
        <v>20</v>
      </c>
      <c r="D69" s="4">
        <v>15</v>
      </c>
      <c r="E69" s="2">
        <f t="shared" si="5"/>
        <v>0.19230769230769232</v>
      </c>
      <c r="F69" s="2">
        <f t="shared" si="7"/>
        <v>8.0553657784353666E-2</v>
      </c>
      <c r="G69" s="2">
        <f t="shared" si="6"/>
        <v>1.2083048667653049</v>
      </c>
      <c r="H69">
        <v>78</v>
      </c>
    </row>
    <row r="70" spans="1:19" x14ac:dyDescent="0.35">
      <c r="A70" s="1">
        <v>15</v>
      </c>
      <c r="B70" s="4">
        <v>11</v>
      </c>
      <c r="C70" s="8" t="s">
        <v>20</v>
      </c>
      <c r="D70" s="4">
        <v>20</v>
      </c>
      <c r="E70" s="2">
        <f t="shared" si="5"/>
        <v>0.25641025641025639</v>
      </c>
      <c r="F70" s="2">
        <f t="shared" si="7"/>
        <v>8.0553657784353666E-2</v>
      </c>
      <c r="G70" s="2">
        <f t="shared" si="6"/>
        <v>1.6110731556870732</v>
      </c>
      <c r="H70">
        <v>78</v>
      </c>
    </row>
    <row r="71" spans="1:19" x14ac:dyDescent="0.35">
      <c r="A71" s="1">
        <v>15</v>
      </c>
      <c r="B71" s="4">
        <v>12</v>
      </c>
      <c r="C71" s="8" t="s">
        <v>20</v>
      </c>
      <c r="D71" s="4">
        <v>30</v>
      </c>
      <c r="E71" s="2">
        <f t="shared" si="5"/>
        <v>0.38461538461538464</v>
      </c>
      <c r="F71" s="2">
        <f t="shared" si="7"/>
        <v>8.0553657784353666E-2</v>
      </c>
      <c r="G71" s="2">
        <f t="shared" si="6"/>
        <v>2.4166097335306098</v>
      </c>
      <c r="H71">
        <v>78</v>
      </c>
    </row>
    <row r="72" spans="1:19" x14ac:dyDescent="0.35">
      <c r="A72" s="1">
        <v>15</v>
      </c>
      <c r="B72" s="4">
        <v>13</v>
      </c>
      <c r="C72" s="8" t="s">
        <v>20</v>
      </c>
      <c r="D72" s="4">
        <v>35</v>
      </c>
      <c r="E72" s="2">
        <f t="shared" si="5"/>
        <v>0.44</v>
      </c>
      <c r="F72" s="2">
        <f t="shared" si="7"/>
        <v>7.8988615290257649E-2</v>
      </c>
      <c r="G72" s="2">
        <f t="shared" si="6"/>
        <v>2.7646015351590179</v>
      </c>
      <c r="H72" s="4">
        <f>AVERAGE(I72:S72)</f>
        <v>79.545454545454547</v>
      </c>
      <c r="I72" s="4">
        <v>75</v>
      </c>
      <c r="J72" s="4">
        <v>73</v>
      </c>
      <c r="K72" s="4">
        <v>75</v>
      </c>
      <c r="L72" s="4">
        <v>80</v>
      </c>
      <c r="M72" s="4">
        <v>81</v>
      </c>
      <c r="N72" s="4">
        <v>85</v>
      </c>
      <c r="O72" s="4">
        <v>83</v>
      </c>
      <c r="P72" s="4">
        <v>86</v>
      </c>
      <c r="Q72" s="4">
        <v>80</v>
      </c>
      <c r="R72" s="4">
        <v>80</v>
      </c>
      <c r="S72" s="4">
        <v>77</v>
      </c>
    </row>
    <row r="73" spans="1:19" x14ac:dyDescent="0.35">
      <c r="A73" s="1">
        <v>15</v>
      </c>
      <c r="B73" s="4">
        <v>14</v>
      </c>
      <c r="C73" s="8" t="s">
        <v>20</v>
      </c>
      <c r="D73" s="4">
        <v>40</v>
      </c>
      <c r="E73" s="2">
        <f t="shared" si="5"/>
        <v>0.50285714285714289</v>
      </c>
      <c r="F73" s="2">
        <f t="shared" si="7"/>
        <v>7.8988615290257649E-2</v>
      </c>
      <c r="G73" s="2">
        <f t="shared" si="6"/>
        <v>3.1595446116103059</v>
      </c>
      <c r="H73" s="3">
        <v>79.545454545454547</v>
      </c>
    </row>
    <row r="74" spans="1:19" x14ac:dyDescent="0.35">
      <c r="A74" s="1">
        <v>15</v>
      </c>
      <c r="B74" s="4">
        <v>15</v>
      </c>
      <c r="C74" s="8" t="s">
        <v>20</v>
      </c>
      <c r="D74" s="4">
        <v>45</v>
      </c>
      <c r="E74" s="2">
        <f t="shared" si="5"/>
        <v>0.56571428571428573</v>
      </c>
      <c r="F74" s="2">
        <f t="shared" si="7"/>
        <v>7.8988615290257649E-2</v>
      </c>
      <c r="G74" s="2">
        <f t="shared" si="6"/>
        <v>3.5544876880615943</v>
      </c>
      <c r="H74" s="3">
        <v>79.545454545454547</v>
      </c>
    </row>
    <row r="75" spans="1:19" x14ac:dyDescent="0.35">
      <c r="A75" s="1">
        <v>15</v>
      </c>
      <c r="B75" s="4">
        <v>16</v>
      </c>
      <c r="C75" s="8" t="s">
        <v>20</v>
      </c>
      <c r="D75" s="4">
        <v>50</v>
      </c>
      <c r="E75" s="2">
        <f t="shared" si="5"/>
        <v>0.62857142857142856</v>
      </c>
      <c r="F75" s="2">
        <f t="shared" si="7"/>
        <v>7.8988615290257649E-2</v>
      </c>
      <c r="G75" s="2">
        <f t="shared" si="6"/>
        <v>3.9494307645128823</v>
      </c>
      <c r="H75" s="3">
        <v>79.545454545454547</v>
      </c>
    </row>
    <row r="76" spans="1:19" x14ac:dyDescent="0.35">
      <c r="A76" s="1" t="s">
        <v>33</v>
      </c>
      <c r="B76" s="4">
        <v>1</v>
      </c>
      <c r="C76" s="8" t="s">
        <v>23</v>
      </c>
      <c r="D76" s="4">
        <v>1</v>
      </c>
      <c r="E76" s="2">
        <f t="shared" si="5"/>
        <v>1.2096774193548387E-2</v>
      </c>
      <c r="F76" s="2">
        <f t="shared" si="7"/>
        <v>7.6006273877172403E-2</v>
      </c>
      <c r="G76" s="2">
        <f t="shared" si="6"/>
        <v>7.6006273877172403E-2</v>
      </c>
      <c r="H76" s="4">
        <f>AVERAGE(I76:K76)</f>
        <v>82.666666666666671</v>
      </c>
      <c r="I76" s="4">
        <v>82</v>
      </c>
      <c r="J76" s="4">
        <v>81</v>
      </c>
      <c r="K76" s="4">
        <v>85</v>
      </c>
    </row>
    <row r="77" spans="1:19" x14ac:dyDescent="0.35">
      <c r="A77" s="1" t="s">
        <v>33</v>
      </c>
      <c r="B77" s="4">
        <v>2</v>
      </c>
      <c r="C77" s="8" t="s">
        <v>23</v>
      </c>
      <c r="D77" s="4">
        <v>2</v>
      </c>
      <c r="E77" s="2">
        <f t="shared" si="5"/>
        <v>2.4193548387096774E-2</v>
      </c>
      <c r="F77" s="2">
        <f t="shared" si="7"/>
        <v>7.6006273877172403E-2</v>
      </c>
      <c r="G77" s="2">
        <f t="shared" si="6"/>
        <v>0.15201254775434481</v>
      </c>
      <c r="H77" s="4">
        <f>H76</f>
        <v>82.666666666666671</v>
      </c>
    </row>
    <row r="78" spans="1:19" x14ac:dyDescent="0.35">
      <c r="A78" s="1" t="s">
        <v>33</v>
      </c>
      <c r="B78" s="4">
        <v>3</v>
      </c>
      <c r="C78" s="8" t="s">
        <v>23</v>
      </c>
      <c r="D78" s="4">
        <v>3</v>
      </c>
      <c r="E78" s="2">
        <f t="shared" si="5"/>
        <v>3.6290322580645157E-2</v>
      </c>
      <c r="F78" s="2">
        <f t="shared" si="7"/>
        <v>7.6006273877172403E-2</v>
      </c>
      <c r="G78" s="2">
        <f t="shared" si="6"/>
        <v>0.22801882163151721</v>
      </c>
      <c r="H78" s="4">
        <f>H77</f>
        <v>82.666666666666671</v>
      </c>
    </row>
    <row r="79" spans="1:19" x14ac:dyDescent="0.35">
      <c r="A79" s="1" t="s">
        <v>33</v>
      </c>
      <c r="B79" s="4">
        <v>4</v>
      </c>
      <c r="C79" s="8" t="s">
        <v>23</v>
      </c>
      <c r="D79" s="4">
        <v>4</v>
      </c>
      <c r="E79" s="2">
        <f t="shared" si="5"/>
        <v>4.8387096774193547E-2</v>
      </c>
      <c r="F79" s="2">
        <f t="shared" si="7"/>
        <v>7.6006273877172403E-2</v>
      </c>
      <c r="G79" s="2">
        <f t="shared" si="6"/>
        <v>0.30402509550868961</v>
      </c>
      <c r="H79" s="4">
        <f>H78</f>
        <v>82.666666666666671</v>
      </c>
    </row>
    <row r="80" spans="1:19" x14ac:dyDescent="0.35">
      <c r="A80" s="1" t="s">
        <v>33</v>
      </c>
      <c r="B80" s="4">
        <v>5</v>
      </c>
      <c r="C80" s="8" t="s">
        <v>23</v>
      </c>
      <c r="D80" s="4">
        <v>5</v>
      </c>
      <c r="E80" s="2">
        <f t="shared" si="5"/>
        <v>6.048387096774193E-2</v>
      </c>
      <c r="F80" s="2">
        <f t="shared" si="7"/>
        <v>7.6006273877172403E-2</v>
      </c>
      <c r="G80" s="2">
        <f t="shared" si="6"/>
        <v>0.38003136938586202</v>
      </c>
      <c r="H80" s="4">
        <f t="shared" ref="H80:H84" si="8">H79</f>
        <v>82.666666666666671</v>
      </c>
    </row>
    <row r="81" spans="1:8" x14ac:dyDescent="0.35">
      <c r="A81" s="1" t="s">
        <v>33</v>
      </c>
      <c r="B81" s="4">
        <v>6</v>
      </c>
      <c r="C81" s="8" t="s">
        <v>23</v>
      </c>
      <c r="D81" s="4">
        <v>10</v>
      </c>
      <c r="E81" s="2">
        <f t="shared" si="5"/>
        <v>0.12096774193548386</v>
      </c>
      <c r="F81" s="2">
        <f t="shared" si="7"/>
        <v>7.6006273877172403E-2</v>
      </c>
      <c r="G81" s="2">
        <f t="shared" si="6"/>
        <v>0.76006273877172403</v>
      </c>
      <c r="H81" s="4">
        <f t="shared" si="8"/>
        <v>82.666666666666671</v>
      </c>
    </row>
    <row r="82" spans="1:8" x14ac:dyDescent="0.35">
      <c r="A82" s="1" t="s">
        <v>33</v>
      </c>
      <c r="B82" s="4">
        <v>7</v>
      </c>
      <c r="C82" s="8" t="s">
        <v>23</v>
      </c>
      <c r="D82" s="4">
        <v>15</v>
      </c>
      <c r="E82" s="2">
        <f t="shared" si="5"/>
        <v>0.18145161290322578</v>
      </c>
      <c r="F82" s="2">
        <f t="shared" si="7"/>
        <v>7.6006273877172403E-2</v>
      </c>
      <c r="G82" s="2">
        <f t="shared" si="6"/>
        <v>1.1400941081575859</v>
      </c>
      <c r="H82" s="4">
        <f t="shared" si="8"/>
        <v>82.666666666666671</v>
      </c>
    </row>
    <row r="83" spans="1:8" x14ac:dyDescent="0.35">
      <c r="A83" s="1" t="s">
        <v>33</v>
      </c>
      <c r="B83" s="4">
        <v>8</v>
      </c>
      <c r="C83" s="8" t="s">
        <v>23</v>
      </c>
      <c r="D83" s="4">
        <v>20</v>
      </c>
      <c r="E83" s="2">
        <f t="shared" si="5"/>
        <v>0.24193548387096772</v>
      </c>
      <c r="F83" s="2">
        <f t="shared" si="7"/>
        <v>7.6006273877172403E-2</v>
      </c>
      <c r="G83" s="2">
        <f t="shared" si="6"/>
        <v>1.5201254775434481</v>
      </c>
      <c r="H83" s="4">
        <f t="shared" si="8"/>
        <v>82.666666666666671</v>
      </c>
    </row>
    <row r="84" spans="1:8" x14ac:dyDescent="0.35">
      <c r="A84" s="1" t="s">
        <v>33</v>
      </c>
      <c r="B84" s="4">
        <v>9</v>
      </c>
      <c r="C84" s="8" t="s">
        <v>23</v>
      </c>
      <c r="D84" s="4">
        <v>25</v>
      </c>
      <c r="E84" s="2">
        <f t="shared" si="5"/>
        <v>0.30241935483870969</v>
      </c>
      <c r="F84" s="2">
        <f t="shared" si="7"/>
        <v>7.6006273877172403E-2</v>
      </c>
      <c r="G84" s="2">
        <f t="shared" si="6"/>
        <v>1.9001568469293102</v>
      </c>
      <c r="H84" s="4">
        <f t="shared" si="8"/>
        <v>82.666666666666671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meta-data motor_mod</vt:lpstr>
      <vt:lpstr>motor rotation</vt:lpstr>
      <vt:lpstr>meta-data CN_delay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</cp:lastModifiedBy>
  <dcterms:created xsi:type="dcterms:W3CDTF">2023-08-14T08:59:28Z</dcterms:created>
  <dcterms:modified xsi:type="dcterms:W3CDTF">2026-02-08T12:42:45Z</dcterms:modified>
</cp:coreProperties>
</file>